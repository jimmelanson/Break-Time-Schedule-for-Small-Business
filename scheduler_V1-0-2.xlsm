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firstSheet="1" activeTab="1"/>
  </bookViews>
  <sheets>
    <sheet name="Info" sheetId="9" r:id="rId1"/>
    <sheet name="Dashboard" sheetId="3" r:id="rId2"/>
    <sheet name="AtAGlance" sheetId="12" r:id="rId3"/>
    <sheet name="Create" sheetId="8" r:id="rId4"/>
    <sheet name="TeamSchedule" sheetId="19" state="veryHidden" r:id="rId5"/>
    <sheet name="Staffing" sheetId="11" r:id="rId6"/>
    <sheet name="Conf_Employees" sheetId="1" r:id="rId7"/>
    <sheet name="Conf_Breaks" sheetId="2" state="veryHidden" r:id="rId8"/>
    <sheet name="Conf_Options" sheetId="10" r:id="rId9"/>
    <sheet name="EmployeeHx" sheetId="5" r:id="rId10"/>
    <sheet name="ScheduleHx" sheetId="6" state="veryHidden" r:id="rId11"/>
    <sheet name="EmployeeSchedule" sheetId="16" state="veryHidden" r:id="rId12"/>
    <sheet name="EmployeeScheduleHx" sheetId="17" state="veryHidden" r:id="rId13"/>
    <sheet name="EmployeeTimeDispersion" sheetId="18" state="veryHidden" r:id="rId14"/>
    <sheet name="BrkTemp1" sheetId="20" state="veryHidden" r:id="rId15"/>
    <sheet name="BrkTemp2" sheetId="21" state="veryHidden" r:id="rId16"/>
    <sheet name="BrkTempCustom" sheetId="22" state="veryHidden" r:id="rId17"/>
    <sheet name="BrkTempNone" sheetId="23" state="veryHidden" r:id="rId18"/>
  </sheets>
  <functionGroups builtInGroupCount="17"/>
  <definedNames>
    <definedName name="EmployeeList">OFFSET(Conf_Employees!$Y$4, 0, 0, COUNTA(Conf_Employees!$Y:$Y), 1)</definedName>
  </definedNames>
  <calcPr calcId="145621"/>
</workbook>
</file>

<file path=xl/calcChain.xml><?xml version="1.0" encoding="utf-8"?>
<calcChain xmlns="http://schemas.openxmlformats.org/spreadsheetml/2006/main">
  <c r="H7" i="3" l="1"/>
  <c r="H8" i="3"/>
  <c r="H9" i="3"/>
  <c r="H10" i="3"/>
  <c r="H11" i="3"/>
  <c r="H12" i="3"/>
  <c r="H13" i="3"/>
  <c r="H14" i="3"/>
  <c r="H15" i="3"/>
  <c r="H6" i="3"/>
  <c r="C39" i="18" l="1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B4" i="18"/>
  <c r="C5" i="18" s="1"/>
  <c r="C40" i="18" l="1"/>
  <c r="C38" i="18"/>
  <c r="C37" i="18"/>
  <c r="C36" i="18"/>
  <c r="C35" i="18"/>
  <c r="C16" i="18"/>
  <c r="C19" i="18"/>
  <c r="C20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18" i="18"/>
  <c r="C17" i="18"/>
  <c r="C15" i="18"/>
  <c r="C14" i="18"/>
  <c r="C13" i="18"/>
  <c r="C12" i="18"/>
  <c r="C11" i="18"/>
  <c r="C10" i="18"/>
  <c r="C9" i="18"/>
  <c r="C8" i="18"/>
  <c r="C7" i="18"/>
  <c r="C6" i="18"/>
  <c r="G4" i="12"/>
  <c r="H4" i="12" s="1"/>
  <c r="I4" i="12" s="1"/>
  <c r="J4" i="12" s="1"/>
  <c r="K4" i="12" s="1"/>
  <c r="L4" i="12" s="1"/>
  <c r="M4" i="12" s="1"/>
  <c r="N4" i="12" s="1"/>
  <c r="O4" i="12" s="1"/>
  <c r="P4" i="12" s="1"/>
  <c r="C28" i="11" l="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HH28" i="11"/>
  <c r="HI28" i="11"/>
  <c r="HJ28" i="11"/>
  <c r="HK28" i="11"/>
  <c r="HL28" i="11"/>
  <c r="HM28" i="11"/>
  <c r="HN28" i="11"/>
  <c r="HO28" i="11"/>
  <c r="HP28" i="11"/>
  <c r="HQ28" i="11"/>
  <c r="HR28" i="11"/>
  <c r="HS28" i="11"/>
  <c r="HT28" i="11"/>
  <c r="HU28" i="11"/>
  <c r="HV28" i="11"/>
  <c r="HW28" i="11"/>
  <c r="HX28" i="11"/>
  <c r="HY28" i="11"/>
  <c r="HZ28" i="11"/>
  <c r="IA28" i="11"/>
  <c r="IB28" i="11"/>
  <c r="IC28" i="11"/>
  <c r="ID28" i="11"/>
  <c r="IE28" i="11"/>
  <c r="IF28" i="11"/>
  <c r="IG28" i="11"/>
  <c r="IH28" i="11"/>
  <c r="II28" i="11"/>
  <c r="IJ28" i="11"/>
  <c r="IK28" i="11"/>
  <c r="IL28" i="11"/>
  <c r="IM28" i="11"/>
  <c r="IN28" i="11"/>
  <c r="IO28" i="11"/>
  <c r="IP28" i="11"/>
  <c r="IQ28" i="11"/>
  <c r="IR28" i="11"/>
  <c r="IS28" i="11"/>
  <c r="IT28" i="11"/>
  <c r="IU28" i="11"/>
  <c r="IV28" i="11"/>
  <c r="IW28" i="11"/>
  <c r="IX28" i="11"/>
  <c r="IY28" i="11"/>
  <c r="IZ28" i="11"/>
  <c r="JA28" i="11"/>
  <c r="JB28" i="11"/>
  <c r="JC28" i="11"/>
  <c r="JD28" i="11"/>
  <c r="JE28" i="11"/>
  <c r="JF28" i="11"/>
  <c r="JG28" i="11"/>
  <c r="JH28" i="11"/>
  <c r="JI28" i="11"/>
  <c r="JJ28" i="11"/>
  <c r="JK28" i="11"/>
  <c r="JL28" i="11"/>
  <c r="JM28" i="11"/>
  <c r="JN28" i="11"/>
  <c r="JO28" i="11"/>
  <c r="JP28" i="11"/>
  <c r="JQ28" i="11"/>
  <c r="JR28" i="11"/>
  <c r="JS28" i="11"/>
  <c r="JT28" i="11"/>
  <c r="JU28" i="11"/>
  <c r="JV28" i="11"/>
  <c r="JW28" i="11"/>
  <c r="JX28" i="11"/>
  <c r="JY28" i="11"/>
  <c r="JZ28" i="11"/>
  <c r="KA28" i="11"/>
  <c r="KB28" i="11"/>
  <c r="KC28" i="11"/>
  <c r="B28" i="11"/>
  <c r="D30" i="11" l="1"/>
  <c r="E30" i="11" s="1"/>
  <c r="F30" i="11" s="1"/>
  <c r="G30" i="11" s="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S30" i="11" s="1"/>
  <c r="T30" i="11" s="1"/>
  <c r="U30" i="11" s="1"/>
  <c r="V30" i="11" s="1"/>
  <c r="W30" i="11" s="1"/>
  <c r="X30" i="11" s="1"/>
  <c r="Y30" i="11" s="1"/>
  <c r="Z30" i="11" s="1"/>
  <c r="AA30" i="11" s="1"/>
  <c r="AB30" i="11" s="1"/>
  <c r="AC30" i="11" s="1"/>
  <c r="AD30" i="11" s="1"/>
  <c r="AE30" i="11" s="1"/>
  <c r="AF30" i="11" s="1"/>
  <c r="AG30" i="11" s="1"/>
  <c r="AH30" i="11" s="1"/>
  <c r="AI30" i="11" s="1"/>
  <c r="AJ30" i="11" s="1"/>
  <c r="AK30" i="11" s="1"/>
  <c r="AL30" i="11" s="1"/>
  <c r="AM30" i="11" s="1"/>
  <c r="AN30" i="11" s="1"/>
  <c r="AO30" i="11" s="1"/>
  <c r="AP30" i="11" s="1"/>
  <c r="AQ30" i="11" s="1"/>
  <c r="AR30" i="11" s="1"/>
  <c r="AS30" i="11" s="1"/>
  <c r="AT30" i="11" s="1"/>
  <c r="AU30" i="11" s="1"/>
  <c r="AV30" i="11" s="1"/>
  <c r="AW30" i="11" s="1"/>
  <c r="AX30" i="11" s="1"/>
  <c r="AY30" i="11" s="1"/>
  <c r="AZ30" i="11" s="1"/>
  <c r="BA30" i="11" s="1"/>
  <c r="BB30" i="11" s="1"/>
  <c r="BC30" i="11" s="1"/>
  <c r="BD30" i="11" s="1"/>
  <c r="BE30" i="11" s="1"/>
  <c r="BF30" i="11" s="1"/>
  <c r="BG30" i="11" s="1"/>
  <c r="BH30" i="11" s="1"/>
  <c r="BI30" i="11" s="1"/>
  <c r="BJ30" i="11" s="1"/>
  <c r="BK30" i="11" s="1"/>
  <c r="BL30" i="11" s="1"/>
  <c r="BM30" i="11" s="1"/>
  <c r="BN30" i="11" s="1"/>
  <c r="BO30" i="11" s="1"/>
  <c r="BP30" i="11" s="1"/>
  <c r="BQ30" i="11" s="1"/>
  <c r="BR30" i="11" s="1"/>
  <c r="BS30" i="11" s="1"/>
  <c r="BT30" i="11" s="1"/>
  <c r="BU30" i="11" s="1"/>
  <c r="BV30" i="11" s="1"/>
  <c r="BW30" i="11" s="1"/>
  <c r="BX30" i="11" s="1"/>
  <c r="BY30" i="11" s="1"/>
  <c r="BZ30" i="11" s="1"/>
  <c r="CA30" i="11" s="1"/>
  <c r="CB30" i="11" s="1"/>
  <c r="CC30" i="11" s="1"/>
  <c r="CD30" i="11" s="1"/>
  <c r="CE30" i="11" s="1"/>
  <c r="CF30" i="11" s="1"/>
  <c r="CG30" i="11" s="1"/>
  <c r="CH30" i="11" s="1"/>
  <c r="CI30" i="11" s="1"/>
  <c r="CJ30" i="11" s="1"/>
  <c r="CK30" i="11" s="1"/>
  <c r="CL30" i="11" s="1"/>
  <c r="CM30" i="11" s="1"/>
  <c r="CN30" i="11" s="1"/>
  <c r="CO30" i="11" s="1"/>
  <c r="CP30" i="11" s="1"/>
  <c r="CQ30" i="11" s="1"/>
  <c r="CR30" i="11" s="1"/>
  <c r="CS30" i="11" s="1"/>
  <c r="CT30" i="11" s="1"/>
  <c r="CU30" i="11" s="1"/>
  <c r="CV30" i="11" s="1"/>
  <c r="CW30" i="11" s="1"/>
  <c r="CX30" i="11" s="1"/>
  <c r="CY30" i="11" s="1"/>
  <c r="CZ30" i="11" s="1"/>
  <c r="DA30" i="11" s="1"/>
  <c r="DB30" i="11" s="1"/>
  <c r="DC30" i="11" s="1"/>
  <c r="DD30" i="11" s="1"/>
  <c r="DE30" i="11" s="1"/>
  <c r="DF30" i="11" s="1"/>
  <c r="DG30" i="11" s="1"/>
  <c r="DH30" i="11" s="1"/>
  <c r="DI30" i="11" s="1"/>
  <c r="DJ30" i="11" s="1"/>
  <c r="DK30" i="11" s="1"/>
  <c r="DL30" i="11" s="1"/>
  <c r="DM30" i="11" s="1"/>
  <c r="DN30" i="11" s="1"/>
  <c r="DO30" i="11" s="1"/>
  <c r="DP30" i="11" s="1"/>
  <c r="DQ30" i="11" s="1"/>
  <c r="DR30" i="11" s="1"/>
  <c r="DS30" i="11" s="1"/>
  <c r="DT30" i="11" s="1"/>
  <c r="DU30" i="11" s="1"/>
  <c r="DV30" i="11" s="1"/>
  <c r="DW30" i="11" s="1"/>
  <c r="DX30" i="11" s="1"/>
  <c r="DY30" i="11" s="1"/>
  <c r="DZ30" i="11" s="1"/>
  <c r="EA30" i="11" s="1"/>
  <c r="EB30" i="11" s="1"/>
  <c r="EC30" i="11" s="1"/>
  <c r="ED30" i="11" s="1"/>
  <c r="EE30" i="11" s="1"/>
  <c r="EF30" i="11" s="1"/>
  <c r="EG30" i="11" s="1"/>
  <c r="EH30" i="11" s="1"/>
  <c r="EI30" i="11" s="1"/>
  <c r="EJ30" i="11" s="1"/>
  <c r="EK30" i="11" s="1"/>
  <c r="EL30" i="11" s="1"/>
  <c r="EM30" i="11" s="1"/>
  <c r="EN30" i="11" s="1"/>
  <c r="EO30" i="11" s="1"/>
  <c r="EP30" i="11" s="1"/>
  <c r="EQ30" i="11" s="1"/>
  <c r="ER30" i="11" s="1"/>
  <c r="ES30" i="11" s="1"/>
  <c r="ET30" i="11" s="1"/>
  <c r="EU30" i="11" s="1"/>
  <c r="EV30" i="11" s="1"/>
  <c r="EW30" i="11" s="1"/>
  <c r="EX30" i="11" s="1"/>
  <c r="EY30" i="11" s="1"/>
  <c r="EZ30" i="11" s="1"/>
  <c r="FA30" i="11" s="1"/>
  <c r="FB30" i="11" s="1"/>
  <c r="FC30" i="11" s="1"/>
  <c r="FD30" i="11" s="1"/>
  <c r="FE30" i="11" s="1"/>
  <c r="FF30" i="11" s="1"/>
  <c r="FG30" i="11" s="1"/>
  <c r="FH30" i="11" s="1"/>
  <c r="FI30" i="11" s="1"/>
  <c r="FJ30" i="11" s="1"/>
  <c r="FK30" i="11" s="1"/>
  <c r="FL30" i="11" s="1"/>
  <c r="FM30" i="11" s="1"/>
  <c r="FN30" i="11" s="1"/>
  <c r="FO30" i="11" s="1"/>
  <c r="FP30" i="11" s="1"/>
  <c r="FQ30" i="11" s="1"/>
  <c r="FR30" i="11" s="1"/>
  <c r="FS30" i="11" s="1"/>
  <c r="FT30" i="11" s="1"/>
  <c r="FU30" i="11" s="1"/>
  <c r="FV30" i="11" s="1"/>
  <c r="FW30" i="11" s="1"/>
  <c r="FX30" i="11" s="1"/>
  <c r="FY30" i="11" s="1"/>
  <c r="FZ30" i="11" s="1"/>
  <c r="GA30" i="11" s="1"/>
  <c r="GB30" i="11" s="1"/>
  <c r="GC30" i="11" s="1"/>
  <c r="GD30" i="11" s="1"/>
  <c r="GE30" i="11" s="1"/>
  <c r="GF30" i="11" s="1"/>
  <c r="GG30" i="11" s="1"/>
  <c r="GH30" i="11" s="1"/>
  <c r="GI30" i="11" s="1"/>
  <c r="GJ30" i="11" s="1"/>
  <c r="GK30" i="11" s="1"/>
  <c r="GL30" i="11" s="1"/>
  <c r="GM30" i="11" s="1"/>
  <c r="GN30" i="11" s="1"/>
  <c r="GO30" i="11" s="1"/>
  <c r="GP30" i="11" s="1"/>
  <c r="GQ30" i="11" s="1"/>
  <c r="GR30" i="11" s="1"/>
  <c r="GS30" i="11" s="1"/>
  <c r="GT30" i="11" s="1"/>
  <c r="GU30" i="11" s="1"/>
  <c r="GV30" i="11" s="1"/>
  <c r="GW30" i="11" s="1"/>
  <c r="GX30" i="11" s="1"/>
  <c r="GY30" i="11" s="1"/>
  <c r="GZ30" i="11" s="1"/>
  <c r="HA30" i="11" s="1"/>
  <c r="HB30" i="11" s="1"/>
  <c r="HC30" i="11" s="1"/>
  <c r="HD30" i="11" s="1"/>
  <c r="HE30" i="11" s="1"/>
  <c r="HF30" i="11" s="1"/>
  <c r="HG30" i="11" s="1"/>
  <c r="HH30" i="11" s="1"/>
  <c r="HI30" i="11" s="1"/>
  <c r="HJ30" i="11" s="1"/>
  <c r="HK30" i="11" s="1"/>
  <c r="HL30" i="11" s="1"/>
  <c r="HM30" i="11" s="1"/>
  <c r="HN30" i="11" s="1"/>
  <c r="HO30" i="11" s="1"/>
  <c r="HP30" i="11" s="1"/>
  <c r="HQ30" i="11" s="1"/>
  <c r="HR30" i="11" s="1"/>
  <c r="HS30" i="11" s="1"/>
  <c r="HT30" i="11" s="1"/>
  <c r="HU30" i="11" s="1"/>
  <c r="HV30" i="11" s="1"/>
  <c r="HW30" i="11" s="1"/>
  <c r="HX30" i="11" s="1"/>
  <c r="HY30" i="11" s="1"/>
  <c r="HZ30" i="11" s="1"/>
  <c r="IA30" i="11" s="1"/>
  <c r="IB30" i="11" s="1"/>
  <c r="IC30" i="11" s="1"/>
  <c r="ID30" i="11" s="1"/>
  <c r="IE30" i="11" s="1"/>
  <c r="IF30" i="11" s="1"/>
  <c r="IG30" i="11" s="1"/>
  <c r="IH30" i="11" s="1"/>
  <c r="II30" i="11" s="1"/>
  <c r="IJ30" i="11" s="1"/>
  <c r="IK30" i="11" s="1"/>
  <c r="IL30" i="11" s="1"/>
  <c r="IM30" i="11" s="1"/>
  <c r="IN30" i="11" s="1"/>
  <c r="IO30" i="11" s="1"/>
  <c r="IP30" i="11" s="1"/>
  <c r="IQ30" i="11" s="1"/>
  <c r="IR30" i="11" s="1"/>
  <c r="IS30" i="11" s="1"/>
  <c r="IT30" i="11" s="1"/>
  <c r="IU30" i="11" s="1"/>
  <c r="IV30" i="11" s="1"/>
  <c r="IW30" i="11" s="1"/>
  <c r="IX30" i="11" s="1"/>
  <c r="IY30" i="11" s="1"/>
  <c r="IZ30" i="11" s="1"/>
  <c r="JA30" i="11" s="1"/>
  <c r="JB30" i="11" s="1"/>
  <c r="JC30" i="11" s="1"/>
  <c r="JD30" i="11" s="1"/>
  <c r="JE30" i="11" s="1"/>
  <c r="JF30" i="11" s="1"/>
  <c r="JG30" i="11" s="1"/>
  <c r="JH30" i="11" s="1"/>
  <c r="JI30" i="11" s="1"/>
  <c r="JJ30" i="11" s="1"/>
  <c r="JK30" i="11" s="1"/>
  <c r="JL30" i="11" s="1"/>
  <c r="JM30" i="11" s="1"/>
  <c r="JN30" i="11" s="1"/>
  <c r="JO30" i="11" s="1"/>
  <c r="JP30" i="11" s="1"/>
  <c r="JQ30" i="11" s="1"/>
  <c r="JR30" i="11" s="1"/>
  <c r="JS30" i="11" s="1"/>
  <c r="JT30" i="11" s="1"/>
  <c r="JU30" i="11" s="1"/>
  <c r="JV30" i="11" s="1"/>
  <c r="JW30" i="11" s="1"/>
  <c r="JX30" i="11" s="1"/>
  <c r="JY30" i="11" s="1"/>
  <c r="JZ30" i="11" s="1"/>
  <c r="KA30" i="11" s="1"/>
  <c r="KB30" i="11" s="1"/>
  <c r="KC30" i="11" s="1"/>
  <c r="C30" i="11"/>
  <c r="E4" i="12"/>
  <c r="D4" i="12" s="1"/>
  <c r="C4" i="12" s="1"/>
  <c r="B4" i="12" s="1"/>
  <c r="B27" i="11" l="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HH27" i="11"/>
  <c r="HI27" i="11"/>
  <c r="HJ27" i="11"/>
  <c r="HK27" i="11"/>
  <c r="HL27" i="11"/>
  <c r="HM27" i="11"/>
  <c r="HN27" i="11"/>
  <c r="HO27" i="11"/>
  <c r="HP27" i="11"/>
  <c r="HQ27" i="11"/>
  <c r="HR27" i="11"/>
  <c r="HS27" i="11"/>
  <c r="HT27" i="11"/>
  <c r="HU27" i="11"/>
  <c r="HV27" i="11"/>
  <c r="HW27" i="11"/>
  <c r="HX27" i="11"/>
  <c r="HY27" i="11"/>
  <c r="HZ27" i="11"/>
  <c r="IA27" i="11"/>
  <c r="IB27" i="11"/>
  <c r="IC27" i="11"/>
  <c r="ID27" i="11"/>
  <c r="IE27" i="11"/>
  <c r="IF27" i="11"/>
  <c r="IG27" i="11"/>
  <c r="IH27" i="11"/>
  <c r="II27" i="11"/>
  <c r="IJ27" i="11"/>
  <c r="IK27" i="11"/>
  <c r="IL27" i="11"/>
  <c r="IM27" i="11"/>
  <c r="IN27" i="11"/>
  <c r="IO27" i="11"/>
  <c r="IP27" i="11"/>
  <c r="IQ27" i="11"/>
  <c r="IR27" i="11"/>
  <c r="IS27" i="11"/>
  <c r="IT27" i="11"/>
  <c r="IU27" i="11"/>
  <c r="IV27" i="11"/>
  <c r="IW27" i="11"/>
  <c r="IX27" i="11"/>
  <c r="IY27" i="11"/>
  <c r="IZ27" i="11"/>
  <c r="JA27" i="11"/>
  <c r="JB27" i="11"/>
  <c r="JC27" i="11"/>
  <c r="JD27" i="11"/>
  <c r="JE27" i="11"/>
  <c r="JF27" i="11"/>
  <c r="JG27" i="11"/>
  <c r="JH27" i="11"/>
  <c r="JI27" i="11"/>
  <c r="JJ27" i="11"/>
  <c r="JK27" i="11"/>
  <c r="JL27" i="11"/>
  <c r="JM27" i="11"/>
  <c r="JN27" i="11"/>
  <c r="JO27" i="11"/>
  <c r="JP27" i="11"/>
  <c r="JQ27" i="11"/>
  <c r="JR27" i="11"/>
  <c r="JS27" i="11"/>
  <c r="JT27" i="11"/>
  <c r="JU27" i="11"/>
  <c r="JV27" i="11"/>
  <c r="JW27" i="11"/>
  <c r="JX27" i="11"/>
  <c r="JY27" i="11"/>
  <c r="JZ27" i="11"/>
  <c r="KA27" i="11"/>
  <c r="KB27" i="11"/>
  <c r="KC27" i="11"/>
  <c r="A3" i="11" l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" i="11"/>
  <c r="Y8" i="8" l="1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7" i="8"/>
  <c r="D2" i="3" l="1"/>
</calcChain>
</file>

<file path=xl/sharedStrings.xml><?xml version="1.0" encoding="utf-8"?>
<sst xmlns="http://schemas.openxmlformats.org/spreadsheetml/2006/main" count="1113" uniqueCount="479">
  <si>
    <t>Employees</t>
  </si>
  <si>
    <t>Break 1</t>
  </si>
  <si>
    <t>Break 2</t>
  </si>
  <si>
    <t>Break 3</t>
  </si>
  <si>
    <t>Break 4</t>
  </si>
  <si>
    <t>Pattern</t>
  </si>
  <si>
    <t>Name</t>
  </si>
  <si>
    <t>Break</t>
  </si>
  <si>
    <t>ADD EMPLOYEE</t>
  </si>
  <si>
    <t>EDIT EMPLOYEE</t>
  </si>
  <si>
    <t>Managing Employees</t>
  </si>
  <si>
    <t>Once an employee is added, they cannot be removed. This is so long-term records can be</t>
  </si>
  <si>
    <t>maintained. You are able to edit an employees name.</t>
  </si>
  <si>
    <t>Break values are the duration in minutes.</t>
  </si>
  <si>
    <t>Start No</t>
  </si>
  <si>
    <t>Later Than</t>
  </si>
  <si>
    <t>End No</t>
  </si>
  <si>
    <t>Managing Breaks - Duration</t>
  </si>
  <si>
    <t>Each pattern supports up to four breaks, which would be common</t>
  </si>
  <si>
    <t>Managing Breaks - Rules</t>
  </si>
  <si>
    <t>example scheduling workbook for a better understanding.</t>
  </si>
  <si>
    <t>Enter in the format hh:mm, eg 00:15 for 15 minutes</t>
  </si>
  <si>
    <t>Enter in the format hh:mm, eg 01:00 for one hour, or 1:30 for 1.5 hours.</t>
  </si>
  <si>
    <t>2.5 hours into the shift, then you would enter:</t>
  </si>
  <si>
    <t>https://www.buymeacoffee.com/jmelanson</t>
  </si>
  <si>
    <t>(But you don't have to…)</t>
  </si>
  <si>
    <t>Small Business Scheduler V1.0</t>
  </si>
  <si>
    <t>Disclaimer</t>
  </si>
  <si>
    <t>This product is provided "as is." It is up to each individual downloading this workbook to determine its</t>
  </si>
  <si>
    <t>suitability for any purpose or application. The author of this workbook makes no warranties or</t>
  </si>
  <si>
    <t>assertions for any suitability for this workbook. Corresponding with the author and having the author</t>
  </si>
  <si>
    <t xml:space="preserve">answer questions cannot be implied to be the author's warranty or assertion of suitability for any </t>
  </si>
  <si>
    <t>purpose.</t>
  </si>
  <si>
    <t>Terms and Conditions</t>
  </si>
  <si>
    <t>You can download this workbook and use as many copies as you want. You may also give this workbook</t>
  </si>
  <si>
    <t>to any other person with the following conditions:</t>
  </si>
  <si>
    <t>1.) You cannot accept money for the workbook or transmitting the workbook.</t>
  </si>
  <si>
    <t>2.) You may not make any changes to the workbook.</t>
  </si>
  <si>
    <t>3.) You may not alter, remove, hide, or obscure this page in any way.</t>
  </si>
  <si>
    <t>Support</t>
  </si>
  <si>
    <t>Email support is offered for this workbook on a casual basis. That is, I will respond as soon as I'm able to.</t>
  </si>
  <si>
    <t>Bugs/Fixes</t>
  </si>
  <si>
    <t>If you implement this workbook for your business, send me an email and let me know. I don't have any</t>
  </si>
  <si>
    <t>marketing email lists and I don't sell email lists. I'm retired, and that crap is long behind me. I just want</t>
  </si>
  <si>
    <t>to be able to let users know if there are any fixes or enhancements being put out.</t>
  </si>
  <si>
    <t>Contact</t>
  </si>
  <si>
    <t>James Melanson</t>
  </si>
  <si>
    <t>jmelanson1965@gmail.com</t>
  </si>
  <si>
    <t>New Brunswick, Canada</t>
  </si>
  <si>
    <t>Generate Reports</t>
  </si>
  <si>
    <t>[EDIT]</t>
  </si>
  <si>
    <t xml:space="preserve">Date To:  </t>
  </si>
  <si>
    <t xml:space="preserve">Date From:  </t>
  </si>
  <si>
    <t xml:space="preserve">Employee:  </t>
  </si>
  <si>
    <t>yyyy.mm.dd OR mm.dd.yyyy</t>
  </si>
  <si>
    <t>Select Employee(s)</t>
  </si>
  <si>
    <t>Position/Task</t>
  </si>
  <si>
    <t>Start</t>
  </si>
  <si>
    <t>End</t>
  </si>
  <si>
    <t>Shift Times*</t>
  </si>
  <si>
    <t>Comments</t>
  </si>
  <si>
    <t>False</t>
  </si>
  <si>
    <t/>
  </si>
  <si>
    <t xml:space="preserve">Create Sheet Edit:  </t>
  </si>
  <si>
    <t>Semaphores</t>
  </si>
  <si>
    <t>The advantages of scheduled break times are:</t>
  </si>
  <si>
    <t>• The employee knows when their break time is and won't have to ask for it.</t>
  </si>
  <si>
    <t>• You can ensure that no one misses a break and the problems this may cause.</t>
  </si>
  <si>
    <t>• You know where a person is supposed to be and don't have to go looking for</t>
  </si>
  <si>
    <t>them only to find they are on a break assigned by someone else.</t>
  </si>
  <si>
    <t>of unfairness or failure to follow labour code.</t>
  </si>
  <si>
    <t>Enter hours and minutes from the start of the shift. Do not enter an exact clock time. See notes below.</t>
  </si>
  <si>
    <t>if you wanted a 15-minute break to start after the first hour of a shift and be concluded no later than</t>
  </si>
  <si>
    <t>You can specify a number of hours/minutes into a shift that a break must start and end. For example,</t>
  </si>
  <si>
    <t>Number of breaks:</t>
  </si>
  <si>
    <t>04:00</t>
  </si>
  <si>
    <t>06:00</t>
  </si>
  <si>
    <t>Hrs In</t>
  </si>
  <si>
    <t>Shift</t>
  </si>
  <si>
    <t>8-Hour Shift</t>
  </si>
  <si>
    <t>6-Hour Shift</t>
  </si>
  <si>
    <t>4-Hour Shift</t>
  </si>
  <si>
    <t>2-Hour Shift</t>
  </si>
  <si>
    <t>12-Hour Shift</t>
  </si>
  <si>
    <t>10-Hour Shift</t>
  </si>
  <si>
    <t>10:00</t>
  </si>
  <si>
    <t>08:00</t>
  </si>
  <si>
    <t>02:00</t>
  </si>
  <si>
    <t xml:space="preserve">Conf_Breaks Edit:  </t>
  </si>
  <si>
    <t>11:00</t>
  </si>
  <si>
    <t>09:00</t>
  </si>
  <si>
    <t>07:00</t>
  </si>
  <si>
    <t>05:00</t>
  </si>
  <si>
    <t>03:00</t>
  </si>
  <si>
    <t>3-Hour Shift</t>
  </si>
  <si>
    <t>5-Hour Shift</t>
  </si>
  <si>
    <t>7-Hour Shift</t>
  </si>
  <si>
    <t>9-Hour Shift</t>
  </si>
  <si>
    <t>11-Hour Shift</t>
  </si>
  <si>
    <t>The settings on this page are used for the automatic scheduling process. If you do not use the automatic scheduling feature, then you do not need to edit this page.</t>
  </si>
  <si>
    <t>Duration</t>
  </si>
  <si>
    <t>expected in a 12-hour shift.</t>
  </si>
  <si>
    <t>You can use as many or as few break periods as you wish. Some</t>
  </si>
  <si>
    <t>companies only provide a lunch. Some others provide a break and</t>
  </si>
  <si>
    <t>is yours.</t>
  </si>
  <si>
    <t>a lunch. Some others may provide two breaks and a lunch. The choice</t>
  </si>
  <si>
    <t>beyond the twelfth hour.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</si>
  <si>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If you are using the automatic scheduling process and have an employee scheduled for more than 12 hours, this process will add a 15-minute break after every second hour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</si>
  <si>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This workbook does not ensure legal compliance with labour law</t>
    </r>
  </si>
  <si>
    <t xml:space="preserve">regarding breaks and lunches. You are required to ensure that your breaks </t>
  </si>
  <si>
    <t>and/or lunches for employees are compliant with the existing labour law</t>
  </si>
  <si>
    <t>in your jurisdiction.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</si>
  <si>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These are hours and minutes after the start of the shift, not 1 AM and 2:30 AM. Refer to the</t>
    </r>
  </si>
  <si>
    <t>evaluation for break times.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</si>
  <si>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If you do not include start no later/end no later values, the process will use it's own internal</t>
    </r>
  </si>
  <si>
    <t xml:space="preserve">Surname:  </t>
  </si>
  <si>
    <t xml:space="preserve">First:  </t>
  </si>
  <si>
    <t xml:space="preserve">Initials:  </t>
  </si>
  <si>
    <t xml:space="preserve">Initals:  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</si>
  <si>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Surname and first name are required. Initials are only required for disambiguation.</t>
    </r>
  </si>
  <si>
    <t>correlate employees with schedule history. You cannot edit the code.</t>
  </si>
  <si>
    <t>• This establishes a permanent record that can be used to investigate claims</t>
  </si>
  <si>
    <t>• This scheduling system provides a permanent and legal record for your business.</t>
  </si>
  <si>
    <t>NOTE: Remember to back up this workbook to an offsite location on a regular basis.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</si>
  <si>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Right click employee names to edit them.</t>
    </r>
  </si>
  <si>
    <t>ID</t>
  </si>
  <si>
    <t xml:space="preserve">Active:  </t>
  </si>
  <si>
    <t xml:space="preserve">Today:  </t>
  </si>
  <si>
    <t>Employee List for DropDown</t>
  </si>
  <si>
    <t>Day</t>
  </si>
  <si>
    <t>Date</t>
  </si>
  <si>
    <t>No. Emp</t>
  </si>
  <si>
    <t>Total Hrs</t>
  </si>
  <si>
    <t>Total Brks</t>
  </si>
  <si>
    <t>UPCOMING SCHEDULES</t>
  </si>
  <si>
    <t>TODAY</t>
  </si>
  <si>
    <t xml:space="preserve">This schedule date:  </t>
  </si>
  <si>
    <t xml:space="preserve">Create Date:  </t>
  </si>
  <si>
    <t xml:space="preserve">Dashboard Edit:  </t>
  </si>
  <si>
    <t>01:30</t>
  </si>
  <si>
    <t>01:00</t>
  </si>
  <si>
    <t>03:30</t>
  </si>
  <si>
    <t>04:30</t>
  </si>
  <si>
    <t>02:30</t>
  </si>
  <si>
    <t>01:15</t>
  </si>
  <si>
    <t>05:15</t>
  </si>
  <si>
    <t>07:30</t>
  </si>
  <si>
    <t>08:45</t>
  </si>
  <si>
    <t>08:30</t>
  </si>
  <si>
    <t>Minutes</t>
  </si>
  <si>
    <t>hh:mm</t>
  </si>
  <si>
    <t>mm</t>
  </si>
  <si>
    <t xml:space="preserve">Date Format:  </t>
  </si>
  <si>
    <t>TimeBlockAssignment</t>
  </si>
  <si>
    <t>Dur</t>
  </si>
  <si>
    <t xml:space="preserve">Staffing Count:  </t>
  </si>
  <si>
    <t>0330</t>
  </si>
  <si>
    <t>0000</t>
  </si>
  <si>
    <t>0005</t>
  </si>
  <si>
    <t>0010</t>
  </si>
  <si>
    <t>0015</t>
  </si>
  <si>
    <t>0020</t>
  </si>
  <si>
    <t>0025</t>
  </si>
  <si>
    <t>0030</t>
  </si>
  <si>
    <t>0035</t>
  </si>
  <si>
    <t>0040</t>
  </si>
  <si>
    <t>0045</t>
  </si>
  <si>
    <t>0050</t>
  </si>
  <si>
    <t>0055</t>
  </si>
  <si>
    <t>0100</t>
  </si>
  <si>
    <t>0105</t>
  </si>
  <si>
    <t>0110</t>
  </si>
  <si>
    <t>0115</t>
  </si>
  <si>
    <t>0120</t>
  </si>
  <si>
    <t>0125</t>
  </si>
  <si>
    <t>0130</t>
  </si>
  <si>
    <t>0135</t>
  </si>
  <si>
    <t>0140</t>
  </si>
  <si>
    <t>0145</t>
  </si>
  <si>
    <t>0150</t>
  </si>
  <si>
    <t>0155</t>
  </si>
  <si>
    <t>0200</t>
  </si>
  <si>
    <t>0205</t>
  </si>
  <si>
    <t>0210</t>
  </si>
  <si>
    <t>0215</t>
  </si>
  <si>
    <t>0220</t>
  </si>
  <si>
    <t>0225</t>
  </si>
  <si>
    <t>0230</t>
  </si>
  <si>
    <t>0235</t>
  </si>
  <si>
    <t>0240</t>
  </si>
  <si>
    <t>0245</t>
  </si>
  <si>
    <t>0250</t>
  </si>
  <si>
    <t>0255</t>
  </si>
  <si>
    <t>0300</t>
  </si>
  <si>
    <t>0305</t>
  </si>
  <si>
    <t>0310</t>
  </si>
  <si>
    <t>0315</t>
  </si>
  <si>
    <t>0320</t>
  </si>
  <si>
    <t>0325</t>
  </si>
  <si>
    <t>0335</t>
  </si>
  <si>
    <t>0340</t>
  </si>
  <si>
    <t>0345</t>
  </si>
  <si>
    <t>0350</t>
  </si>
  <si>
    <t>0355</t>
  </si>
  <si>
    <t>0400</t>
  </si>
  <si>
    <t>0405</t>
  </si>
  <si>
    <t>0410</t>
  </si>
  <si>
    <t>0415</t>
  </si>
  <si>
    <t>0420</t>
  </si>
  <si>
    <t>0425</t>
  </si>
  <si>
    <t>0430</t>
  </si>
  <si>
    <t>0435</t>
  </si>
  <si>
    <t>0440</t>
  </si>
  <si>
    <t>0445</t>
  </si>
  <si>
    <t>0450</t>
  </si>
  <si>
    <t>0455</t>
  </si>
  <si>
    <t>0500</t>
  </si>
  <si>
    <t>0505</t>
  </si>
  <si>
    <t>0510</t>
  </si>
  <si>
    <t>0515</t>
  </si>
  <si>
    <t>0520</t>
  </si>
  <si>
    <t>0525</t>
  </si>
  <si>
    <t>0530</t>
  </si>
  <si>
    <t>0535</t>
  </si>
  <si>
    <t>0540</t>
  </si>
  <si>
    <t>0545</t>
  </si>
  <si>
    <t>0550</t>
  </si>
  <si>
    <t>0555</t>
  </si>
  <si>
    <t>0600</t>
  </si>
  <si>
    <t>0605</t>
  </si>
  <si>
    <t>0610</t>
  </si>
  <si>
    <t>0615</t>
  </si>
  <si>
    <t>0620</t>
  </si>
  <si>
    <t>0625</t>
  </si>
  <si>
    <t>0630</t>
  </si>
  <si>
    <t>0635</t>
  </si>
  <si>
    <t>0640</t>
  </si>
  <si>
    <t>0645</t>
  </si>
  <si>
    <t>0650</t>
  </si>
  <si>
    <t>0655</t>
  </si>
  <si>
    <t>0700</t>
  </si>
  <si>
    <t>0705</t>
  </si>
  <si>
    <t>0710</t>
  </si>
  <si>
    <t>0715</t>
  </si>
  <si>
    <t>0720</t>
  </si>
  <si>
    <t>0725</t>
  </si>
  <si>
    <t>0730</t>
  </si>
  <si>
    <t>0735</t>
  </si>
  <si>
    <t>0740</t>
  </si>
  <si>
    <t>0745</t>
  </si>
  <si>
    <t>0750</t>
  </si>
  <si>
    <t>0755</t>
  </si>
  <si>
    <t>0800</t>
  </si>
  <si>
    <t>0805</t>
  </si>
  <si>
    <t>0810</t>
  </si>
  <si>
    <t>0815</t>
  </si>
  <si>
    <t>0820</t>
  </si>
  <si>
    <t>0825</t>
  </si>
  <si>
    <t>0830</t>
  </si>
  <si>
    <t>0835</t>
  </si>
  <si>
    <t>0840</t>
  </si>
  <si>
    <t>0845</t>
  </si>
  <si>
    <t>0850</t>
  </si>
  <si>
    <t>0855</t>
  </si>
  <si>
    <t>0900</t>
  </si>
  <si>
    <t>0905</t>
  </si>
  <si>
    <t>0910</t>
  </si>
  <si>
    <t>0915</t>
  </si>
  <si>
    <t>0920</t>
  </si>
  <si>
    <t>0925</t>
  </si>
  <si>
    <t>0930</t>
  </si>
  <si>
    <t>0935</t>
  </si>
  <si>
    <t>0940</t>
  </si>
  <si>
    <t>0945</t>
  </si>
  <si>
    <t>0950</t>
  </si>
  <si>
    <t>0955</t>
  </si>
  <si>
    <t>1000</t>
  </si>
  <si>
    <t>1005</t>
  </si>
  <si>
    <t>1010</t>
  </si>
  <si>
    <t>1015</t>
  </si>
  <si>
    <t>1020</t>
  </si>
  <si>
    <t>1025</t>
  </si>
  <si>
    <t>1030</t>
  </si>
  <si>
    <t>1035</t>
  </si>
  <si>
    <t>1040</t>
  </si>
  <si>
    <t>1045</t>
  </si>
  <si>
    <t>1050</t>
  </si>
  <si>
    <t>1055</t>
  </si>
  <si>
    <t>1100</t>
  </si>
  <si>
    <t>1105</t>
  </si>
  <si>
    <t>1110</t>
  </si>
  <si>
    <t>1115</t>
  </si>
  <si>
    <t>1120</t>
  </si>
  <si>
    <t>1125</t>
  </si>
  <si>
    <t>1130</t>
  </si>
  <si>
    <t>1135</t>
  </si>
  <si>
    <t>1140</t>
  </si>
  <si>
    <t>1145</t>
  </si>
  <si>
    <t>1150</t>
  </si>
  <si>
    <t>1155</t>
  </si>
  <si>
    <t>1200</t>
  </si>
  <si>
    <t>1205</t>
  </si>
  <si>
    <t>1210</t>
  </si>
  <si>
    <t>1215</t>
  </si>
  <si>
    <t>1220</t>
  </si>
  <si>
    <t>1225</t>
  </si>
  <si>
    <t>1230</t>
  </si>
  <si>
    <t>1235</t>
  </si>
  <si>
    <t>1240</t>
  </si>
  <si>
    <t>1245</t>
  </si>
  <si>
    <t>1250</t>
  </si>
  <si>
    <t>1255</t>
  </si>
  <si>
    <t>1300</t>
  </si>
  <si>
    <t>1305</t>
  </si>
  <si>
    <t>1310</t>
  </si>
  <si>
    <t>1315</t>
  </si>
  <si>
    <t>1320</t>
  </si>
  <si>
    <t>1325</t>
  </si>
  <si>
    <t>1330</t>
  </si>
  <si>
    <t>1335</t>
  </si>
  <si>
    <t>1340</t>
  </si>
  <si>
    <t>1345</t>
  </si>
  <si>
    <t>1350</t>
  </si>
  <si>
    <t>1355</t>
  </si>
  <si>
    <t>1400</t>
  </si>
  <si>
    <t>1405</t>
  </si>
  <si>
    <t>1410</t>
  </si>
  <si>
    <t>1415</t>
  </si>
  <si>
    <t>1420</t>
  </si>
  <si>
    <t>1425</t>
  </si>
  <si>
    <t>1430</t>
  </si>
  <si>
    <t>1435</t>
  </si>
  <si>
    <t>1440</t>
  </si>
  <si>
    <t>1445</t>
  </si>
  <si>
    <t>1450</t>
  </si>
  <si>
    <t>1455</t>
  </si>
  <si>
    <t>1500</t>
  </si>
  <si>
    <t>1505</t>
  </si>
  <si>
    <t>1510</t>
  </si>
  <si>
    <t>1515</t>
  </si>
  <si>
    <t>1520</t>
  </si>
  <si>
    <t>1525</t>
  </si>
  <si>
    <t>1530</t>
  </si>
  <si>
    <t>1535</t>
  </si>
  <si>
    <t>1540</t>
  </si>
  <si>
    <t>1545</t>
  </si>
  <si>
    <t>1550</t>
  </si>
  <si>
    <t>1555</t>
  </si>
  <si>
    <t>1600</t>
  </si>
  <si>
    <t>1605</t>
  </si>
  <si>
    <t>1610</t>
  </si>
  <si>
    <t>1615</t>
  </si>
  <si>
    <t>1620</t>
  </si>
  <si>
    <t>1625</t>
  </si>
  <si>
    <t>1630</t>
  </si>
  <si>
    <t>1635</t>
  </si>
  <si>
    <t>1640</t>
  </si>
  <si>
    <t>1645</t>
  </si>
  <si>
    <t>1650</t>
  </si>
  <si>
    <t>1655</t>
  </si>
  <si>
    <t>1700</t>
  </si>
  <si>
    <t>1705</t>
  </si>
  <si>
    <t>1710</t>
  </si>
  <si>
    <t>1715</t>
  </si>
  <si>
    <t>1720</t>
  </si>
  <si>
    <t>1725</t>
  </si>
  <si>
    <t>1730</t>
  </si>
  <si>
    <t>1735</t>
  </si>
  <si>
    <t>1740</t>
  </si>
  <si>
    <t>1745</t>
  </si>
  <si>
    <t>1750</t>
  </si>
  <si>
    <t>1755</t>
  </si>
  <si>
    <t>1800</t>
  </si>
  <si>
    <t>1805</t>
  </si>
  <si>
    <t>1810</t>
  </si>
  <si>
    <t>1815</t>
  </si>
  <si>
    <t>1820</t>
  </si>
  <si>
    <t>1825</t>
  </si>
  <si>
    <t>1830</t>
  </si>
  <si>
    <t>1835</t>
  </si>
  <si>
    <t>1840</t>
  </si>
  <si>
    <t>1845</t>
  </si>
  <si>
    <t>1850</t>
  </si>
  <si>
    <t>1855</t>
  </si>
  <si>
    <t>1900</t>
  </si>
  <si>
    <t>1905</t>
  </si>
  <si>
    <t>1910</t>
  </si>
  <si>
    <t>1915</t>
  </si>
  <si>
    <t>1920</t>
  </si>
  <si>
    <t>1925</t>
  </si>
  <si>
    <t>1930</t>
  </si>
  <si>
    <t>1935</t>
  </si>
  <si>
    <t>1940</t>
  </si>
  <si>
    <t>1945</t>
  </si>
  <si>
    <t>1950</t>
  </si>
  <si>
    <t>1955</t>
  </si>
  <si>
    <t>2000</t>
  </si>
  <si>
    <t>2005</t>
  </si>
  <si>
    <t>2010</t>
  </si>
  <si>
    <t>2015</t>
  </si>
  <si>
    <t>2020</t>
  </si>
  <si>
    <t>2025</t>
  </si>
  <si>
    <t>2030</t>
  </si>
  <si>
    <t>2035</t>
  </si>
  <si>
    <t>2040</t>
  </si>
  <si>
    <t>2045</t>
  </si>
  <si>
    <t>2050</t>
  </si>
  <si>
    <t>2055</t>
  </si>
  <si>
    <t>2100</t>
  </si>
  <si>
    <t>2105</t>
  </si>
  <si>
    <t>2110</t>
  </si>
  <si>
    <t>2115</t>
  </si>
  <si>
    <t>2120</t>
  </si>
  <si>
    <t>2125</t>
  </si>
  <si>
    <t>2130</t>
  </si>
  <si>
    <t>2135</t>
  </si>
  <si>
    <t>2140</t>
  </si>
  <si>
    <t>2145</t>
  </si>
  <si>
    <t>2150</t>
  </si>
  <si>
    <t>2155</t>
  </si>
  <si>
    <t>2200</t>
  </si>
  <si>
    <t>2205</t>
  </si>
  <si>
    <t>2210</t>
  </si>
  <si>
    <t>2215</t>
  </si>
  <si>
    <t>2220</t>
  </si>
  <si>
    <t>2225</t>
  </si>
  <si>
    <t>2230</t>
  </si>
  <si>
    <t>2235</t>
  </si>
  <si>
    <t>2240</t>
  </si>
  <si>
    <t>2245</t>
  </si>
  <si>
    <t>2250</t>
  </si>
  <si>
    <t>2255</t>
  </si>
  <si>
    <t>2300</t>
  </si>
  <si>
    <t>2305</t>
  </si>
  <si>
    <t>2310</t>
  </si>
  <si>
    <t>2315</t>
  </si>
  <si>
    <t>2320</t>
  </si>
  <si>
    <t>2325</t>
  </si>
  <si>
    <t>2330</t>
  </si>
  <si>
    <t>2335</t>
  </si>
  <si>
    <t>2340</t>
  </si>
  <si>
    <t>2345</t>
  </si>
  <si>
    <t>2350</t>
  </si>
  <si>
    <t>2355</t>
  </si>
  <si>
    <t xml:space="preserve">Column numbers:  </t>
  </si>
  <si>
    <t>12-Hour AMPM</t>
  </si>
  <si>
    <t>dddd</t>
  </si>
  <si>
    <t>Earlier Than</t>
  </si>
  <si>
    <t>Sat</t>
  </si>
  <si>
    <t>Sun</t>
  </si>
  <si>
    <t>Mon</t>
  </si>
  <si>
    <t>Tue</t>
  </si>
  <si>
    <t>Wed</t>
  </si>
  <si>
    <t>Thur</t>
  </si>
  <si>
    <t>Fri</t>
  </si>
  <si>
    <t>NOTE: Summary provides upcoming schedules for one employee</t>
  </si>
  <si>
    <t>only. Full Hx shows complete history of schedules.</t>
  </si>
  <si>
    <t xml:space="preserve">1st Sched Date:  </t>
  </si>
  <si>
    <t xml:space="preserve">Last Sched Date:  </t>
  </si>
  <si>
    <t>min</t>
  </si>
  <si>
    <t xml:space="preserve">NAME:  </t>
  </si>
  <si>
    <t xml:space="preserve">STATUS:  </t>
  </si>
  <si>
    <t>Active Only</t>
  </si>
  <si>
    <t>Percentage</t>
  </si>
  <si>
    <t xml:space="preserve">Total Hours:  </t>
  </si>
  <si>
    <t>SCHEDULE AT-A-GLANCE</t>
  </si>
  <si>
    <t>BREAK FORMATTING TEMPLATE #1</t>
  </si>
  <si>
    <t>BREAK FORMATTING TEMPLATE #2</t>
  </si>
  <si>
    <t>BREAK FORMATTING TEMPLATE CUSTOM</t>
  </si>
  <si>
    <t>06:30</t>
  </si>
  <si>
    <t>09:15</t>
  </si>
  <si>
    <t>07:15</t>
  </si>
  <si>
    <t>08:15</t>
  </si>
  <si>
    <t>Weekly</t>
  </si>
  <si>
    <t>10:15</t>
  </si>
  <si>
    <t xml:space="preserve">Time Format:  </t>
  </si>
  <si>
    <t>The system will generate a unique five-character identifer for each employee. This is required to</t>
  </si>
  <si>
    <t xml:space="preserve">Active Employees:  </t>
  </si>
  <si>
    <t>2022-11-12 to 2022-11-26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</si>
</sst>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hh:mm"/>
    <numFmt numFmtId="165" formatCode="yyyy\.mm\.dd"/>
    <numFmt numFmtId="166" formatCode="mm\-dd\-yyyy"/>
    <numFmt numFmtId="167" formatCode="mm/dd/yyyy"/>
    <numFmt numFmtId="168" formatCode="yyyy\-mm\-dd"/>
    <numFmt numFmtId="169" formatCode="0.0%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3" tint="-0.249977111117893"/>
      <name val="Calibri"/>
      <family val="2"/>
      <scheme val="minor"/>
    </font>
    <font>
      <sz val="11"/>
      <name val="Calibri"/>
      <scheme val="minor"/>
    </font>
    <font>
      <i/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3">
    <xf numFmtId="0" fontId="0" fillId="0" borderId="0" xfId="0"/>
    <xf numFmtId="0" fontId="0" fillId="2" borderId="0" xfId="0" applyFill="1"/>
    <xf numFmtId="0" fontId="0" fillId="2" borderId="2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2" borderId="0" xfId="0" applyNumberFormat="1" applyFill="1"/>
    <xf numFmtId="49" fontId="0" fillId="2" borderId="5" xfId="0" applyNumberFormat="1" applyFill="1" applyBorder="1" applyProtection="1"/>
    <xf numFmtId="49" fontId="0" fillId="2" borderId="3" xfId="0" applyNumberFormat="1" applyFill="1" applyBorder="1" applyProtection="1"/>
    <xf numFmtId="49" fontId="0" fillId="2" borderId="4" xfId="0" applyNumberFormat="1" applyFill="1" applyBorder="1" applyProtection="1"/>
    <xf numFmtId="0" fontId="1" fillId="2" borderId="0" xfId="0" applyFont="1" applyFill="1"/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1" fillId="2" borderId="35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164" fontId="0" fillId="5" borderId="39" xfId="0" applyNumberFormat="1" applyFill="1" applyBorder="1" applyAlignment="1">
      <alignment horizontal="center"/>
    </xf>
    <xf numFmtId="164" fontId="0" fillId="5" borderId="40" xfId="0" applyNumberFormat="1" applyFill="1" applyBorder="1" applyAlignment="1">
      <alignment horizontal="center"/>
    </xf>
    <xf numFmtId="0" fontId="2" fillId="2" borderId="0" xfId="0" applyFont="1" applyFill="1"/>
    <xf numFmtId="0" fontId="5" fillId="2" borderId="0" xfId="0" applyFont="1" applyFill="1"/>
    <xf numFmtId="0" fontId="6" fillId="2" borderId="0" xfId="1" applyFill="1"/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7" fillId="2" borderId="0" xfId="0" applyFont="1" applyFill="1" applyBorder="1" applyAlignment="1">
      <alignment horizontal="center"/>
    </xf>
    <xf numFmtId="0" fontId="0" fillId="2" borderId="42" xfId="0" applyFill="1" applyBorder="1" applyAlignment="1">
      <alignment horizontal="center" vertical="center"/>
    </xf>
    <xf numFmtId="0" fontId="1" fillId="2" borderId="43" xfId="0" applyFont="1" applyFill="1" applyBorder="1" applyAlignment="1">
      <alignment horizontal="left" vertical="center"/>
    </xf>
    <xf numFmtId="0" fontId="0" fillId="2" borderId="43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45" xfId="0" applyFill="1" applyBorder="1"/>
    <xf numFmtId="0" fontId="0" fillId="2" borderId="21" xfId="0" applyFill="1" applyBorder="1"/>
    <xf numFmtId="0" fontId="0" fillId="2" borderId="46" xfId="0" applyFill="1" applyBorder="1"/>
    <xf numFmtId="0" fontId="0" fillId="2" borderId="47" xfId="0" applyFill="1" applyBorder="1"/>
    <xf numFmtId="0" fontId="0" fillId="2" borderId="19" xfId="0" applyFill="1" applyBorder="1"/>
    <xf numFmtId="0" fontId="0" fillId="2" borderId="0" xfId="0" applyFill="1" applyBorder="1" applyAlignment="1">
      <alignment horizontal="center"/>
    </xf>
    <xf numFmtId="0" fontId="0" fillId="4" borderId="1" xfId="0" applyFill="1" applyBorder="1" applyProtection="1">
      <protection locked="0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49" fontId="0" fillId="0" borderId="0" xfId="0" applyNumberFormat="1"/>
    <xf numFmtId="49" fontId="0" fillId="2" borderId="0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  <xf numFmtId="49" fontId="0" fillId="6" borderId="1" xfId="0" applyNumberForma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49" fontId="0" fillId="5" borderId="2" xfId="0" applyNumberFormat="1" applyFill="1" applyBorder="1" applyProtection="1">
      <protection locked="0"/>
    </xf>
    <xf numFmtId="49" fontId="1" fillId="2" borderId="0" xfId="0" applyNumberFormat="1" applyFont="1" applyFill="1" applyAlignment="1">
      <alignment horizontal="center"/>
    </xf>
    <xf numFmtId="0" fontId="11" fillId="2" borderId="0" xfId="0" applyFont="1" applyFill="1"/>
    <xf numFmtId="49" fontId="1" fillId="2" borderId="42" xfId="0" applyNumberFormat="1" applyFont="1" applyFill="1" applyBorder="1" applyAlignment="1">
      <alignment horizontal="center"/>
    </xf>
    <xf numFmtId="49" fontId="1" fillId="2" borderId="46" xfId="0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center"/>
    </xf>
    <xf numFmtId="49" fontId="0" fillId="6" borderId="49" xfId="0" applyNumberFormat="1" applyFill="1" applyBorder="1" applyAlignment="1">
      <alignment horizontal="center"/>
    </xf>
    <xf numFmtId="0" fontId="10" fillId="0" borderId="0" xfId="0" applyFont="1" applyFill="1"/>
    <xf numFmtId="49" fontId="0" fillId="0" borderId="31" xfId="0" applyNumberFormat="1" applyFill="1" applyBorder="1" applyProtection="1"/>
    <xf numFmtId="49" fontId="0" fillId="0" borderId="33" xfId="0" applyNumberFormat="1" applyFill="1" applyBorder="1" applyProtection="1"/>
    <xf numFmtId="49" fontId="0" fillId="0" borderId="34" xfId="0" applyNumberFormat="1" applyFill="1" applyBorder="1" applyProtection="1"/>
    <xf numFmtId="0" fontId="1" fillId="2" borderId="49" xfId="0" applyFont="1" applyFill="1" applyBorder="1" applyAlignment="1">
      <alignment horizontal="center"/>
    </xf>
    <xf numFmtId="49" fontId="1" fillId="2" borderId="45" xfId="0" applyNumberFormat="1" applyFont="1" applyFill="1" applyBorder="1" applyAlignment="1">
      <alignment horizontal="center"/>
    </xf>
    <xf numFmtId="49" fontId="0" fillId="2" borderId="45" xfId="0" applyNumberFormat="1" applyFill="1" applyBorder="1" applyAlignment="1" applyProtection="1">
      <alignment horizontal="center"/>
    </xf>
    <xf numFmtId="49" fontId="9" fillId="2" borderId="45" xfId="0" quotePrefix="1" applyNumberFormat="1" applyFont="1" applyFill="1" applyBorder="1" applyAlignment="1" applyProtection="1">
      <alignment horizontal="center"/>
    </xf>
    <xf numFmtId="49" fontId="1" fillId="2" borderId="0" xfId="0" applyNumberFormat="1" applyFont="1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</xf>
    <xf numFmtId="0" fontId="1" fillId="2" borderId="51" xfId="0" applyFont="1" applyFill="1" applyBorder="1" applyAlignment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52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49" fontId="4" fillId="6" borderId="54" xfId="0" applyNumberFormat="1" applyFont="1" applyFill="1" applyBorder="1" applyAlignment="1" applyProtection="1">
      <alignment horizontal="center"/>
    </xf>
    <xf numFmtId="0" fontId="0" fillId="5" borderId="2" xfId="0" applyFill="1" applyBorder="1" applyProtection="1">
      <protection locked="0"/>
    </xf>
    <xf numFmtId="49" fontId="0" fillId="2" borderId="0" xfId="0" applyNumberFormat="1" applyFill="1" applyBorder="1" applyProtection="1">
      <protection locked="0"/>
    </xf>
    <xf numFmtId="165" fontId="0" fillId="2" borderId="1" xfId="0" applyNumberFormat="1" applyFill="1" applyBorder="1" applyAlignment="1">
      <alignment horizontal="center"/>
    </xf>
    <xf numFmtId="165" fontId="1" fillId="2" borderId="7" xfId="0" quotePrefix="1" applyNumberFormat="1" applyFont="1" applyFill="1" applyBorder="1" applyAlignment="1">
      <alignment horizontal="center"/>
    </xf>
    <xf numFmtId="49" fontId="1" fillId="2" borderId="8" xfId="0" applyNumberFormat="1" applyFont="1" applyFill="1" applyBorder="1" applyAlignment="1" applyProtection="1">
      <alignment horizontal="center"/>
    </xf>
    <xf numFmtId="49" fontId="0" fillId="2" borderId="10" xfId="0" applyNumberFormat="1" applyFill="1" applyBorder="1" applyAlignment="1" applyProtection="1">
      <alignment horizontal="center"/>
    </xf>
    <xf numFmtId="49" fontId="1" fillId="2" borderId="2" xfId="0" applyNumberFormat="1" applyFont="1" applyFill="1" applyBorder="1" applyAlignment="1" applyProtection="1">
      <alignment horizontal="center"/>
    </xf>
    <xf numFmtId="49" fontId="0" fillId="2" borderId="5" xfId="0" applyNumberFormat="1" applyFill="1" applyBorder="1" applyProtection="1">
      <protection locked="0"/>
    </xf>
    <xf numFmtId="49" fontId="0" fillId="2" borderId="3" xfId="0" applyNumberFormat="1" applyFill="1" applyBorder="1" applyProtection="1">
      <protection locked="0"/>
    </xf>
    <xf numFmtId="49" fontId="1" fillId="2" borderId="6" xfId="0" applyNumberFormat="1" applyFont="1" applyFill="1" applyBorder="1" applyAlignment="1">
      <alignment horizontal="center"/>
    </xf>
    <xf numFmtId="49" fontId="1" fillId="2" borderId="7" xfId="0" applyNumberFormat="1" applyFont="1" applyFill="1" applyBorder="1" applyAlignment="1">
      <alignment horizontal="center"/>
    </xf>
    <xf numFmtId="49" fontId="12" fillId="2" borderId="7" xfId="0" applyNumberFormat="1" applyFont="1" applyFill="1" applyBorder="1" applyAlignment="1">
      <alignment horizontal="center"/>
    </xf>
    <xf numFmtId="49" fontId="0" fillId="2" borderId="9" xfId="0" applyNumberFormat="1" applyFill="1" applyBorder="1"/>
    <xf numFmtId="49" fontId="0" fillId="2" borderId="1" xfId="0" applyNumberFormat="1" applyFill="1" applyBorder="1"/>
    <xf numFmtId="49" fontId="4" fillId="2" borderId="1" xfId="0" applyNumberFormat="1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1" fillId="2" borderId="2" xfId="0" applyNumberFormat="1" applyFont="1" applyFill="1" applyBorder="1" applyAlignment="1">
      <alignment horizontal="left"/>
    </xf>
    <xf numFmtId="49" fontId="0" fillId="2" borderId="5" xfId="0" applyNumberFormat="1" applyFill="1" applyBorder="1" applyAlignment="1">
      <alignment horizontal="left"/>
    </xf>
    <xf numFmtId="49" fontId="0" fillId="2" borderId="3" xfId="0" applyNumberFormat="1" applyFill="1" applyBorder="1" applyAlignment="1">
      <alignment horizontal="left"/>
    </xf>
    <xf numFmtId="0" fontId="13" fillId="2" borderId="56" xfId="0" applyFont="1" applyFill="1" applyBorder="1" applyAlignment="1">
      <alignment horizontal="center"/>
    </xf>
    <xf numFmtId="0" fontId="14" fillId="2" borderId="56" xfId="0" applyFont="1" applyFill="1" applyBorder="1" applyAlignment="1">
      <alignment horizontal="center"/>
    </xf>
    <xf numFmtId="0" fontId="0" fillId="2" borderId="0" xfId="0" applyFill="1" applyProtection="1"/>
    <xf numFmtId="49" fontId="0" fillId="2" borderId="0" xfId="0" applyNumberFormat="1" applyFill="1" applyProtection="1"/>
    <xf numFmtId="49" fontId="0" fillId="2" borderId="0" xfId="0" applyNumberFormat="1" applyFill="1" applyAlignment="1" applyProtection="1">
      <alignment horizontal="center"/>
    </xf>
    <xf numFmtId="0" fontId="0" fillId="2" borderId="24" xfId="0" applyFill="1" applyBorder="1" applyProtection="1"/>
    <xf numFmtId="0" fontId="0" fillId="2" borderId="25" xfId="0" applyFill="1" applyBorder="1" applyProtection="1"/>
    <xf numFmtId="0" fontId="0" fillId="2" borderId="26" xfId="0" applyFill="1" applyBorder="1" applyProtection="1"/>
    <xf numFmtId="0" fontId="0" fillId="2" borderId="27" xfId="0" applyFill="1" applyBorder="1" applyProtection="1"/>
    <xf numFmtId="0" fontId="0" fillId="2" borderId="0" xfId="0" applyFill="1" applyBorder="1" applyProtection="1"/>
    <xf numFmtId="0" fontId="1" fillId="2" borderId="0" xfId="0" applyFont="1" applyFill="1" applyBorder="1" applyProtection="1"/>
    <xf numFmtId="0" fontId="0" fillId="2" borderId="28" xfId="0" applyFill="1" applyBorder="1" applyProtection="1"/>
    <xf numFmtId="0" fontId="1" fillId="2" borderId="0" xfId="0" applyFont="1" applyFill="1" applyBorder="1" applyAlignment="1" applyProtection="1">
      <alignment horizontal="right"/>
    </xf>
    <xf numFmtId="49" fontId="0" fillId="2" borderId="0" xfId="0" applyNumberFormat="1" applyFill="1" applyBorder="1" applyProtection="1"/>
    <xf numFmtId="0" fontId="0" fillId="2" borderId="29" xfId="0" applyFill="1" applyBorder="1" applyProtection="1"/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50" xfId="0" applyFill="1" applyBorder="1" applyProtection="1"/>
    <xf numFmtId="0" fontId="0" fillId="6" borderId="55" xfId="0" applyFill="1" applyBorder="1" applyProtection="1"/>
    <xf numFmtId="0" fontId="1" fillId="2" borderId="0" xfId="0" applyFont="1" applyFill="1" applyProtection="1"/>
    <xf numFmtId="49" fontId="15" fillId="2" borderId="0" xfId="0" applyNumberFormat="1" applyFont="1" applyFill="1" applyAlignment="1" applyProtection="1">
      <alignment horizontal="center"/>
    </xf>
    <xf numFmtId="49" fontId="15" fillId="2" borderId="55" xfId="0" applyNumberFormat="1" applyFont="1" applyFill="1" applyBorder="1" applyAlignment="1" applyProtection="1">
      <alignment horizontal="center"/>
    </xf>
    <xf numFmtId="49" fontId="8" fillId="2" borderId="0" xfId="0" applyNumberFormat="1" applyFont="1" applyFill="1" applyBorder="1"/>
    <xf numFmtId="49" fontId="1" fillId="0" borderId="0" xfId="0" applyNumberFormat="1" applyFont="1"/>
    <xf numFmtId="0" fontId="16" fillId="2" borderId="41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 wrapText="1"/>
    </xf>
    <xf numFmtId="49" fontId="0" fillId="2" borderId="0" xfId="0" applyNumberFormat="1" applyFill="1" applyBorder="1"/>
    <xf numFmtId="49" fontId="0" fillId="2" borderId="47" xfId="0" applyNumberFormat="1" applyFill="1" applyBorder="1"/>
    <xf numFmtId="49" fontId="0" fillId="2" borderId="17" xfId="0" applyNumberFormat="1" applyFill="1" applyBorder="1"/>
    <xf numFmtId="0" fontId="1" fillId="2" borderId="0" xfId="0" applyFont="1" applyFill="1" applyAlignment="1">
      <alignment horizontal="center"/>
    </xf>
    <xf numFmtId="165" fontId="0" fillId="2" borderId="0" xfId="0" applyNumberFormat="1" applyFill="1" applyBorder="1" applyAlignment="1" applyProtection="1">
      <alignment horizontal="left"/>
    </xf>
    <xf numFmtId="0" fontId="17" fillId="2" borderId="0" xfId="0" applyFont="1" applyFill="1" applyAlignment="1">
      <alignment horizontal="center"/>
    </xf>
    <xf numFmtId="0" fontId="9" fillId="2" borderId="0" xfId="0" applyFont="1" applyFill="1" applyAlignment="1" applyProtection="1">
      <alignment horizontal="center"/>
    </xf>
    <xf numFmtId="0" fontId="9" fillId="2" borderId="1" xfId="0" applyFont="1" applyFill="1" applyBorder="1" applyProtection="1"/>
    <xf numFmtId="0" fontId="1" fillId="2" borderId="0" xfId="0" applyFont="1" applyFill="1" applyBorder="1" applyAlignment="1"/>
    <xf numFmtId="0" fontId="0" fillId="0" borderId="0" xfId="0" applyFill="1"/>
    <xf numFmtId="49" fontId="9" fillId="2" borderId="0" xfId="0" applyNumberFormat="1" applyFon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10" fillId="3" borderId="6" xfId="0" quotePrefix="1" applyNumberFormat="1" applyFont="1" applyFill="1" applyBorder="1" applyAlignment="1" applyProtection="1">
      <alignment horizontal="center"/>
      <protection locked="0"/>
    </xf>
    <xf numFmtId="1" fontId="9" fillId="3" borderId="9" xfId="0" quotePrefix="1" applyNumberFormat="1" applyFont="1" applyFill="1" applyBorder="1" applyAlignment="1" applyProtection="1">
      <alignment horizontal="center"/>
      <protection locked="0"/>
    </xf>
    <xf numFmtId="1" fontId="10" fillId="3" borderId="9" xfId="0" quotePrefix="1" applyNumberFormat="1" applyFont="1" applyFill="1" applyBorder="1" applyAlignment="1" applyProtection="1">
      <alignment horizontal="center"/>
      <protection locked="0"/>
    </xf>
    <xf numFmtId="1" fontId="9" fillId="3" borderId="11" xfId="0" quotePrefix="1" applyNumberFormat="1" applyFont="1" applyFill="1" applyBorder="1" applyAlignment="1" applyProtection="1">
      <alignment horizontal="center"/>
      <protection locked="0"/>
    </xf>
    <xf numFmtId="1" fontId="10" fillId="3" borderId="20" xfId="0" quotePrefix="1" applyNumberFormat="1" applyFont="1" applyFill="1" applyBorder="1" applyAlignment="1" applyProtection="1">
      <alignment horizontal="center"/>
      <protection locked="0"/>
    </xf>
    <xf numFmtId="1" fontId="9" fillId="3" borderId="9" xfId="0" applyNumberFormat="1" applyFont="1" applyFill="1" applyBorder="1" applyAlignment="1" applyProtection="1">
      <alignment horizontal="center"/>
      <protection locked="0"/>
    </xf>
    <xf numFmtId="1" fontId="0" fillId="5" borderId="9" xfId="0" applyNumberFormat="1" applyFill="1" applyBorder="1" applyAlignment="1" applyProtection="1">
      <alignment horizontal="center"/>
      <protection locked="0"/>
    </xf>
    <xf numFmtId="1" fontId="0" fillId="5" borderId="11" xfId="0" applyNumberFormat="1" applyFill="1" applyBorder="1" applyAlignment="1" applyProtection="1">
      <alignment horizontal="center"/>
      <protection locked="0"/>
    </xf>
    <xf numFmtId="1" fontId="9" fillId="3" borderId="20" xfId="0" quotePrefix="1" applyNumberFormat="1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>
      <alignment horizontal="center"/>
    </xf>
    <xf numFmtId="1" fontId="18" fillId="2" borderId="0" xfId="0" applyNumberFormat="1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14" fontId="1" fillId="0" borderId="0" xfId="0" applyNumberFormat="1" applyFont="1"/>
    <xf numFmtId="14" fontId="0" fillId="0" borderId="0" xfId="0" applyNumberFormat="1"/>
    <xf numFmtId="2" fontId="0" fillId="0" borderId="29" xfId="0" applyNumberFormat="1" applyFill="1" applyBorder="1" applyAlignment="1" applyProtection="1">
      <alignment horizontal="center"/>
    </xf>
    <xf numFmtId="2" fontId="0" fillId="0" borderId="14" xfId="0" applyNumberFormat="1" applyFill="1" applyBorder="1" applyAlignment="1" applyProtection="1">
      <alignment horizontal="center"/>
    </xf>
    <xf numFmtId="2" fontId="9" fillId="0" borderId="14" xfId="0" quotePrefix="1" applyNumberFormat="1" applyFont="1" applyFill="1" applyBorder="1" applyAlignment="1" applyProtection="1">
      <alignment horizontal="center"/>
    </xf>
    <xf numFmtId="2" fontId="9" fillId="0" borderId="32" xfId="0" quotePrefix="1" applyNumberFormat="1" applyFont="1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NumberFormat="1" applyFill="1"/>
    <xf numFmtId="0" fontId="0" fillId="0" borderId="58" xfId="0" applyNumberFormat="1" applyFill="1" applyBorder="1"/>
    <xf numFmtId="0" fontId="0" fillId="0" borderId="3" xfId="0" applyNumberFormat="1" applyFill="1" applyBorder="1"/>
    <xf numFmtId="0" fontId="0" fillId="0" borderId="4" xfId="0" applyNumberFormat="1" applyFill="1" applyBorder="1"/>
    <xf numFmtId="1" fontId="19" fillId="2" borderId="36" xfId="0" applyNumberFormat="1" applyFont="1" applyFill="1" applyBorder="1" applyAlignment="1">
      <alignment horizontal="center"/>
    </xf>
    <xf numFmtId="1" fontId="19" fillId="2" borderId="44" xfId="0" applyNumberFormat="1" applyFont="1" applyFill="1" applyBorder="1" applyAlignment="1">
      <alignment horizontal="center"/>
    </xf>
    <xf numFmtId="1" fontId="1" fillId="0" borderId="0" xfId="0" applyNumberFormat="1" applyFont="1" applyFill="1" applyAlignment="1">
      <alignment horizontal="right"/>
    </xf>
    <xf numFmtId="1" fontId="0" fillId="0" borderId="62" xfId="0" applyNumberFormat="1" applyFill="1" applyBorder="1" applyAlignment="1">
      <alignment horizontal="center"/>
    </xf>
    <xf numFmtId="1" fontId="0" fillId="0" borderId="0" xfId="0" applyNumberFormat="1" applyFill="1"/>
    <xf numFmtId="49" fontId="9" fillId="7" borderId="33" xfId="0" quotePrefix="1" applyNumberFormat="1" applyFont="1" applyFill="1" applyBorder="1" applyAlignment="1" applyProtection="1">
      <alignment horizontal="center"/>
      <protection locked="0"/>
    </xf>
    <xf numFmtId="49" fontId="9" fillId="7" borderId="10" xfId="0" quotePrefix="1" applyNumberFormat="1" applyFont="1" applyFill="1" applyBorder="1" applyAlignment="1" applyProtection="1">
      <alignment horizontal="center"/>
      <protection locked="0"/>
    </xf>
    <xf numFmtId="49" fontId="0" fillId="0" borderId="0" xfId="0" quotePrefix="1" applyNumberFormat="1"/>
    <xf numFmtId="49" fontId="1" fillId="0" borderId="47" xfId="0" applyNumberFormat="1" applyFont="1" applyFill="1" applyBorder="1" applyAlignment="1">
      <alignment horizontal="center"/>
    </xf>
    <xf numFmtId="49" fontId="0" fillId="0" borderId="47" xfId="0" applyNumberFormat="1" applyFill="1" applyBorder="1"/>
    <xf numFmtId="49" fontId="9" fillId="7" borderId="31" xfId="0" quotePrefix="1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Alignment="1">
      <alignment horizontal="center"/>
    </xf>
    <xf numFmtId="0" fontId="4" fillId="0" borderId="0" xfId="0" applyNumberFormat="1" applyFont="1" applyFill="1" applyAlignment="1">
      <alignment horizontal="right"/>
    </xf>
    <xf numFmtId="49" fontId="4" fillId="0" borderId="0" xfId="0" applyNumberFormat="1" applyFont="1" applyFill="1" applyAlignment="1">
      <alignment horizontal="center"/>
    </xf>
    <xf numFmtId="49" fontId="9" fillId="7" borderId="1" xfId="0" quotePrefix="1" applyNumberFormat="1" applyFont="1" applyFill="1" applyBorder="1" applyAlignment="1" applyProtection="1">
      <alignment horizontal="center"/>
      <protection locked="0"/>
    </xf>
    <xf numFmtId="49" fontId="0" fillId="0" borderId="61" xfId="0" applyNumberFormat="1" applyFill="1" applyBorder="1" applyAlignment="1">
      <alignment horizontal="center"/>
    </xf>
    <xf numFmtId="49" fontId="0" fillId="0" borderId="7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33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/>
    </xf>
    <xf numFmtId="49" fontId="0" fillId="0" borderId="12" xfId="0" applyNumberFormat="1" applyFill="1" applyBorder="1" applyAlignment="1">
      <alignment horizontal="center"/>
    </xf>
    <xf numFmtId="49" fontId="0" fillId="0" borderId="13" xfId="0" applyNumberFormat="1" applyFill="1" applyBorder="1" applyAlignment="1">
      <alignment horizontal="center"/>
    </xf>
    <xf numFmtId="14" fontId="1" fillId="2" borderId="0" xfId="0" applyNumberFormat="1" applyFont="1" applyFill="1" applyAlignment="1">
      <alignment horizontal="right"/>
    </xf>
    <xf numFmtId="14" fontId="16" fillId="2" borderId="39" xfId="0" applyNumberFormat="1" applyFont="1" applyFill="1" applyBorder="1" applyAlignment="1">
      <alignment horizontal="center" vertical="center" wrapText="1"/>
    </xf>
    <xf numFmtId="14" fontId="0" fillId="2" borderId="0" xfId="0" applyNumberFormat="1" applyFill="1" applyAlignment="1">
      <alignment horizontal="center"/>
    </xf>
    <xf numFmtId="14" fontId="0" fillId="2" borderId="0" xfId="0" applyNumberFormat="1" applyFill="1" applyBorder="1" applyAlignment="1" applyProtection="1">
      <alignment horizontal="center"/>
    </xf>
    <xf numFmtId="14" fontId="0" fillId="2" borderId="0" xfId="0" applyNumberFormat="1" applyFill="1" applyAlignment="1">
      <alignment horizontal="right"/>
    </xf>
    <xf numFmtId="49" fontId="0" fillId="2" borderId="15" xfId="0" applyNumberFormat="1" applyFill="1" applyBorder="1" applyAlignment="1">
      <alignment horizontal="center"/>
    </xf>
    <xf numFmtId="49" fontId="0" fillId="2" borderId="29" xfId="0" applyNumberFormat="1" applyFill="1" applyBorder="1" applyAlignment="1">
      <alignment horizontal="center"/>
    </xf>
    <xf numFmtId="49" fontId="0" fillId="2" borderId="16" xfId="0" applyNumberFormat="1" applyFill="1" applyBorder="1" applyAlignment="1">
      <alignment horizontal="center"/>
    </xf>
    <xf numFmtId="49" fontId="0" fillId="2" borderId="14" xfId="0" applyNumberFormat="1" applyFill="1" applyBorder="1" applyAlignment="1">
      <alignment horizontal="center"/>
    </xf>
    <xf numFmtId="49" fontId="0" fillId="2" borderId="10" xfId="0" applyNumberFormat="1" applyFill="1" applyBorder="1" applyAlignment="1">
      <alignment horizontal="center"/>
    </xf>
    <xf numFmtId="49" fontId="0" fillId="2" borderId="12" xfId="0" applyNumberFormat="1" applyFill="1" applyBorder="1" applyAlignment="1">
      <alignment horizontal="center"/>
    </xf>
    <xf numFmtId="49" fontId="0" fillId="2" borderId="32" xfId="0" applyNumberFormat="1" applyFill="1" applyBorder="1" applyAlignment="1">
      <alignment horizontal="center"/>
    </xf>
    <xf numFmtId="49" fontId="0" fillId="2" borderId="13" xfId="0" applyNumberFormat="1" applyFill="1" applyBorder="1" applyAlignment="1">
      <alignment horizontal="center"/>
    </xf>
    <xf numFmtId="0" fontId="4" fillId="0" borderId="1" xfId="0" applyFont="1" applyBorder="1"/>
    <xf numFmtId="0" fontId="0" fillId="2" borderId="0" xfId="0" applyNumberFormat="1" applyFill="1"/>
    <xf numFmtId="0" fontId="0" fillId="2" borderId="0" xfId="0" applyNumberFormat="1" applyFill="1" applyBorder="1"/>
    <xf numFmtId="0" fontId="0" fillId="2" borderId="18" xfId="0" applyNumberFormat="1" applyFill="1" applyBorder="1"/>
    <xf numFmtId="0" fontId="0" fillId="2" borderId="48" xfId="0" applyNumberFormat="1" applyFill="1" applyBorder="1"/>
    <xf numFmtId="49" fontId="1" fillId="2" borderId="0" xfId="0" applyNumberFormat="1" applyFont="1" applyFill="1" applyBorder="1" applyAlignment="1">
      <alignment horizontal="center"/>
    </xf>
    <xf numFmtId="49" fontId="1" fillId="2" borderId="47" xfId="0" applyNumberFormat="1" applyFont="1" applyFill="1" applyBorder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6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6" borderId="12" xfId="0" applyNumberForma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20" fillId="2" borderId="63" xfId="0" applyFont="1" applyFill="1" applyBorder="1" applyAlignment="1">
      <alignment horizontal="center"/>
    </xf>
    <xf numFmtId="166" fontId="0" fillId="2" borderId="47" xfId="0" applyNumberFormat="1" applyFill="1" applyBorder="1"/>
    <xf numFmtId="49" fontId="20" fillId="2" borderId="0" xfId="0" applyNumberFormat="1" applyFont="1" applyFill="1" applyAlignment="1">
      <alignment horizontal="center"/>
    </xf>
    <xf numFmtId="49" fontId="20" fillId="2" borderId="1" xfId="0" applyNumberFormat="1" applyFont="1" applyFill="1" applyBorder="1" applyAlignment="1">
      <alignment horizontal="center"/>
    </xf>
    <xf numFmtId="0" fontId="0" fillId="5" borderId="2" xfId="0" applyFill="1" applyBorder="1" applyAlignment="1" applyProtection="1">
      <alignment horizontal="center"/>
      <protection locked="0"/>
    </xf>
    <xf numFmtId="0" fontId="0" fillId="2" borderId="0" xfId="0" applyFont="1" applyFill="1"/>
    <xf numFmtId="49" fontId="0" fillId="2" borderId="0" xfId="0" applyNumberFormat="1" applyFont="1" applyFill="1" applyBorder="1" applyAlignment="1">
      <alignment horizontal="center"/>
    </xf>
    <xf numFmtId="49" fontId="0" fillId="2" borderId="0" xfId="0" applyNumberFormat="1" applyFont="1" applyFill="1" applyAlignment="1">
      <alignment horizontal="center"/>
    </xf>
    <xf numFmtId="49" fontId="1" fillId="2" borderId="0" xfId="0" applyNumberFormat="1" applyFont="1" applyFill="1" applyAlignment="1">
      <alignment horizontal="right"/>
    </xf>
    <xf numFmtId="49" fontId="1" fillId="2" borderId="0" xfId="0" applyNumberFormat="1" applyFont="1" applyFill="1" applyBorder="1" applyAlignment="1">
      <alignment horizontal="right"/>
    </xf>
    <xf numFmtId="1" fontId="0" fillId="2" borderId="0" xfId="0" applyNumberFormat="1" applyFont="1" applyFill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1" fontId="0" fillId="2" borderId="0" xfId="0" applyNumberFormat="1" applyFont="1" applyFill="1"/>
    <xf numFmtId="49" fontId="0" fillId="2" borderId="0" xfId="0" applyNumberFormat="1" applyFont="1" applyFill="1"/>
    <xf numFmtId="168" fontId="0" fillId="2" borderId="20" xfId="0" applyNumberFormat="1" applyFill="1" applyBorder="1" applyAlignment="1">
      <alignment horizontal="center"/>
    </xf>
    <xf numFmtId="168" fontId="0" fillId="2" borderId="9" xfId="0" applyNumberFormat="1" applyFill="1" applyBorder="1" applyAlignment="1">
      <alignment horizontal="center"/>
    </xf>
    <xf numFmtId="168" fontId="0" fillId="2" borderId="11" xfId="0" applyNumberFormat="1" applyFill="1" applyBorder="1" applyAlignment="1">
      <alignment horizontal="center"/>
    </xf>
    <xf numFmtId="168" fontId="17" fillId="2" borderId="57" xfId="0" applyNumberFormat="1" applyFont="1" applyFill="1" applyBorder="1" applyAlignment="1">
      <alignment horizontal="center"/>
    </xf>
    <xf numFmtId="168" fontId="17" fillId="6" borderId="57" xfId="0" applyNumberFormat="1" applyFont="1" applyFill="1" applyBorder="1" applyAlignment="1">
      <alignment horizontal="center"/>
    </xf>
    <xf numFmtId="168" fontId="20" fillId="2" borderId="1" xfId="0" applyNumberFormat="1" applyFont="1" applyFill="1" applyBorder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68" fontId="20" fillId="2" borderId="63" xfId="0" applyNumberFormat="1" applyFont="1" applyFill="1" applyBorder="1" applyAlignment="1">
      <alignment horizontal="center"/>
    </xf>
    <xf numFmtId="168" fontId="16" fillId="2" borderId="0" xfId="0" applyNumberFormat="1" applyFont="1" applyFill="1" applyAlignment="1">
      <alignment horizontal="center"/>
    </xf>
    <xf numFmtId="168" fontId="0" fillId="2" borderId="1" xfId="0" applyNumberFormat="1" applyFill="1" applyBorder="1" applyAlignment="1" applyProtection="1">
      <alignment horizontal="center"/>
    </xf>
    <xf numFmtId="167" fontId="0" fillId="2" borderId="0" xfId="0" applyNumberFormat="1" applyFont="1" applyFill="1" applyBorder="1" applyAlignment="1">
      <alignment horizontal="left"/>
    </xf>
    <xf numFmtId="167" fontId="0" fillId="2" borderId="0" xfId="0" applyNumberFormat="1" applyFont="1" applyFill="1" applyAlignment="1">
      <alignment horizontal="left"/>
    </xf>
    <xf numFmtId="49" fontId="0" fillId="2" borderId="58" xfId="0" applyNumberFormat="1" applyFill="1" applyBorder="1"/>
    <xf numFmtId="2" fontId="0" fillId="2" borderId="58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2" borderId="3" xfId="0" applyNumberFormat="1" applyFill="1" applyBorder="1"/>
    <xf numFmtId="0" fontId="0" fillId="2" borderId="4" xfId="0" applyNumberFormat="1" applyFill="1" applyBorder="1"/>
    <xf numFmtId="49" fontId="0" fillId="4" borderId="1" xfId="0" applyNumberFormat="1" applyFill="1" applyBorder="1" applyAlignment="1" applyProtection="1">
      <alignment horizontal="center"/>
      <protection locked="0"/>
    </xf>
    <xf numFmtId="49" fontId="21" fillId="2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0" fillId="0" borderId="0" xfId="0" applyAlignment="1">
      <alignment horizontal="center"/>
    </xf>
    <xf numFmtId="14" fontId="0" fillId="3" borderId="2" xfId="0" applyNumberFormat="1" applyFill="1" applyBorder="1" applyAlignment="1" applyProtection="1">
      <alignment horizontal="center"/>
      <protection locked="0"/>
    </xf>
    <xf numFmtId="0" fontId="22" fillId="2" borderId="0" xfId="0" applyNumberFormat="1" applyFont="1" applyFill="1" applyBorder="1" applyAlignment="1">
      <alignment horizontal="right"/>
    </xf>
    <xf numFmtId="2" fontId="22" fillId="2" borderId="0" xfId="0" applyNumberFormat="1" applyFont="1" applyFill="1" applyBorder="1" applyAlignment="1">
      <alignment horizontal="center"/>
    </xf>
    <xf numFmtId="169" fontId="0" fillId="2" borderId="58" xfId="0" applyNumberFormat="1" applyFill="1" applyBorder="1" applyAlignment="1">
      <alignment horizontal="center"/>
    </xf>
    <xf numFmtId="169" fontId="0" fillId="2" borderId="3" xfId="0" applyNumberFormat="1" applyFill="1" applyBorder="1" applyAlignment="1">
      <alignment horizontal="center"/>
    </xf>
    <xf numFmtId="169" fontId="0" fillId="2" borderId="4" xfId="0" applyNumberFormat="1" applyFill="1" applyBorder="1" applyAlignment="1">
      <alignment horizontal="center"/>
    </xf>
    <xf numFmtId="0" fontId="0" fillId="2" borderId="43" xfId="0" applyNumberFormat="1" applyFill="1" applyBorder="1" applyAlignment="1">
      <alignment horizontal="center"/>
    </xf>
    <xf numFmtId="2" fontId="0" fillId="2" borderId="43" xfId="0" applyNumberFormat="1" applyFill="1" applyBorder="1" applyAlignment="1">
      <alignment horizontal="center"/>
    </xf>
    <xf numFmtId="49" fontId="1" fillId="2" borderId="0" xfId="0" applyNumberFormat="1" applyFont="1" applyFill="1" applyAlignment="1"/>
    <xf numFmtId="0" fontId="9" fillId="2" borderId="0" xfId="0" applyFont="1" applyFill="1" applyAlignment="1">
      <alignment horizontal="center"/>
    </xf>
    <xf numFmtId="0" fontId="23" fillId="2" borderId="0" xfId="0" applyFont="1" applyFill="1" applyAlignment="1" applyProtection="1">
      <alignment horizontal="center"/>
      <protection locked="0"/>
    </xf>
    <xf numFmtId="1" fontId="0" fillId="2" borderId="0" xfId="0" applyNumberFormat="1" applyFill="1" applyProtection="1"/>
    <xf numFmtId="49" fontId="2" fillId="2" borderId="0" xfId="0" applyNumberFormat="1" applyFont="1" applyFill="1" applyProtection="1"/>
    <xf numFmtId="0" fontId="0" fillId="2" borderId="21" xfId="0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49" fontId="1" fillId="2" borderId="42" xfId="0" applyNumberFormat="1" applyFont="1" applyFill="1" applyBorder="1" applyAlignment="1" applyProtection="1">
      <alignment horizontal="center"/>
    </xf>
    <xf numFmtId="49" fontId="1" fillId="2" borderId="45" xfId="0" applyNumberFormat="1" applyFont="1" applyFill="1" applyBorder="1" applyAlignment="1" applyProtection="1">
      <alignment horizontal="center"/>
    </xf>
    <xf numFmtId="1" fontId="1" fillId="2" borderId="51" xfId="0" applyNumberFormat="1" applyFont="1" applyFill="1" applyBorder="1" applyAlignment="1" applyProtection="1">
      <alignment horizontal="center"/>
    </xf>
    <xf numFmtId="49" fontId="1" fillId="2" borderId="49" xfId="0" applyNumberFormat="1" applyFont="1" applyFill="1" applyBorder="1" applyAlignment="1" applyProtection="1">
      <alignment horizontal="center"/>
    </xf>
    <xf numFmtId="49" fontId="1" fillId="2" borderId="52" xfId="0" applyNumberFormat="1" applyFont="1" applyFill="1" applyBorder="1" applyAlignment="1" applyProtection="1">
      <alignment horizontal="center"/>
    </xf>
    <xf numFmtId="0" fontId="1" fillId="2" borderId="23" xfId="0" applyFont="1" applyFill="1" applyBorder="1" applyAlignment="1" applyProtection="1">
      <alignment horizontal="center"/>
    </xf>
    <xf numFmtId="49" fontId="1" fillId="2" borderId="46" xfId="0" applyNumberFormat="1" applyFont="1" applyFill="1" applyBorder="1" applyAlignment="1" applyProtection="1">
      <alignment horizontal="center"/>
    </xf>
    <xf numFmtId="1" fontId="1" fillId="2" borderId="37" xfId="0" applyNumberFormat="1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 applyProtection="1">
      <alignment horizontal="center"/>
    </xf>
    <xf numFmtId="49" fontId="1" fillId="2" borderId="38" xfId="0" applyNumberFormat="1" applyFont="1" applyFill="1" applyBorder="1" applyAlignment="1" applyProtection="1">
      <alignment horizontal="center"/>
    </xf>
    <xf numFmtId="0" fontId="2" fillId="2" borderId="0" xfId="0" applyFont="1" applyFill="1" applyBorder="1" applyProtection="1"/>
    <xf numFmtId="49" fontId="2" fillId="2" borderId="0" xfId="0" applyNumberFormat="1" applyFont="1" applyFill="1" applyBorder="1" applyAlignment="1" applyProtection="1">
      <alignment horizontal="center"/>
    </xf>
    <xf numFmtId="1" fontId="0" fillId="2" borderId="0" xfId="0" applyNumberFormat="1" applyFill="1" applyBorder="1" applyProtection="1"/>
    <xf numFmtId="49" fontId="2" fillId="2" borderId="0" xfId="0" applyNumberFormat="1" applyFont="1" applyFill="1" applyBorder="1" applyProtection="1"/>
    <xf numFmtId="1" fontId="2" fillId="2" borderId="0" xfId="0" applyNumberFormat="1" applyFont="1" applyFill="1" applyBorder="1" applyProtection="1"/>
    <xf numFmtId="49" fontId="1" fillId="2" borderId="0" xfId="0" applyNumberFormat="1" applyFont="1" applyFill="1" applyBorder="1" applyProtection="1"/>
    <xf numFmtId="1" fontId="1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Border="1" applyProtection="1"/>
    <xf numFmtId="164" fontId="0" fillId="2" borderId="0" xfId="0" applyNumberFormat="1" applyFill="1" applyBorder="1" applyAlignment="1" applyProtection="1">
      <alignment horizontal="center"/>
    </xf>
    <xf numFmtId="1" fontId="0" fillId="2" borderId="0" xfId="0" applyNumberFormat="1" applyFill="1" applyBorder="1" applyAlignment="1" applyProtection="1">
      <alignment horizontal="center"/>
    </xf>
    <xf numFmtId="49" fontId="11" fillId="2" borderId="0" xfId="0" applyNumberFormat="1" applyFont="1" applyFill="1" applyBorder="1" applyProtection="1"/>
    <xf numFmtId="1" fontId="10" fillId="8" borderId="6" xfId="0" quotePrefix="1" applyNumberFormat="1" applyFont="1" applyFill="1" applyBorder="1" applyAlignment="1" applyProtection="1">
      <alignment horizontal="center"/>
    </xf>
    <xf numFmtId="1" fontId="9" fillId="8" borderId="9" xfId="0" quotePrefix="1" applyNumberFormat="1" applyFont="1" applyFill="1" applyBorder="1" applyAlignment="1" applyProtection="1">
      <alignment horizontal="center"/>
    </xf>
    <xf numFmtId="1" fontId="10" fillId="8" borderId="9" xfId="0" quotePrefix="1" applyNumberFormat="1" applyFont="1" applyFill="1" applyBorder="1" applyAlignment="1" applyProtection="1">
      <alignment horizontal="center"/>
    </xf>
    <xf numFmtId="1" fontId="9" fillId="8" borderId="11" xfId="0" quotePrefix="1" applyNumberFormat="1" applyFont="1" applyFill="1" applyBorder="1" applyAlignment="1" applyProtection="1">
      <alignment horizontal="center"/>
    </xf>
    <xf numFmtId="1" fontId="10" fillId="8" borderId="20" xfId="0" quotePrefix="1" applyNumberFormat="1" applyFont="1" applyFill="1" applyBorder="1" applyAlignment="1" applyProtection="1">
      <alignment horizontal="center"/>
    </xf>
    <xf numFmtId="1" fontId="9" fillId="8" borderId="9" xfId="0" applyNumberFormat="1" applyFont="1" applyFill="1" applyBorder="1" applyAlignment="1" applyProtection="1">
      <alignment horizontal="center"/>
    </xf>
    <xf numFmtId="1" fontId="0" fillId="8" borderId="9" xfId="0" applyNumberFormat="1" applyFill="1" applyBorder="1" applyAlignment="1" applyProtection="1">
      <alignment horizontal="center"/>
    </xf>
    <xf numFmtId="1" fontId="0" fillId="8" borderId="11" xfId="0" applyNumberFormat="1" applyFill="1" applyBorder="1" applyAlignment="1" applyProtection="1">
      <alignment horizontal="center"/>
    </xf>
    <xf numFmtId="1" fontId="9" fillId="8" borderId="20" xfId="0" quotePrefix="1" applyNumberFormat="1" applyFont="1" applyFill="1" applyBorder="1" applyAlignment="1" applyProtection="1">
      <alignment horizontal="center"/>
    </xf>
    <xf numFmtId="49" fontId="9" fillId="9" borderId="7" xfId="0" quotePrefix="1" applyNumberFormat="1" applyFont="1" applyFill="1" applyBorder="1" applyAlignment="1" applyProtection="1">
      <alignment horizontal="center"/>
    </xf>
    <xf numFmtId="49" fontId="9" fillId="9" borderId="8" xfId="0" quotePrefix="1" applyNumberFormat="1" applyFont="1" applyFill="1" applyBorder="1" applyAlignment="1" applyProtection="1">
      <alignment horizontal="center"/>
    </xf>
    <xf numFmtId="49" fontId="9" fillId="9" borderId="1" xfId="0" quotePrefix="1" applyNumberFormat="1" applyFont="1" applyFill="1" applyBorder="1" applyAlignment="1" applyProtection="1">
      <alignment horizontal="center"/>
    </xf>
    <xf numFmtId="49" fontId="9" fillId="9" borderId="10" xfId="0" quotePrefix="1" applyNumberFormat="1" applyFont="1" applyFill="1" applyBorder="1" applyAlignment="1" applyProtection="1">
      <alignment horizontal="center"/>
    </xf>
    <xf numFmtId="49" fontId="0" fillId="9" borderId="12" xfId="0" applyNumberFormat="1" applyFill="1" applyBorder="1" applyAlignment="1" applyProtection="1">
      <alignment horizontal="center"/>
    </xf>
    <xf numFmtId="49" fontId="0" fillId="9" borderId="13" xfId="0" applyNumberFormat="1" applyFill="1" applyBorder="1" applyAlignment="1" applyProtection="1">
      <alignment horizontal="center"/>
    </xf>
    <xf numFmtId="49" fontId="9" fillId="9" borderId="31" xfId="0" quotePrefix="1" applyNumberFormat="1" applyFont="1" applyFill="1" applyBorder="1" applyAlignment="1" applyProtection="1">
      <alignment horizontal="center"/>
    </xf>
    <xf numFmtId="49" fontId="9" fillId="9" borderId="16" xfId="0" quotePrefix="1" applyNumberFormat="1" applyFont="1" applyFill="1" applyBorder="1" applyAlignment="1" applyProtection="1">
      <alignment horizontal="center"/>
    </xf>
    <xf numFmtId="49" fontId="9" fillId="9" borderId="33" xfId="0" quotePrefix="1" applyNumberFormat="1" applyFont="1" applyFill="1" applyBorder="1" applyAlignment="1" applyProtection="1">
      <alignment horizontal="center"/>
    </xf>
    <xf numFmtId="49" fontId="0" fillId="9" borderId="33" xfId="0" applyNumberFormat="1" applyFill="1" applyBorder="1" applyAlignment="1" applyProtection="1">
      <alignment horizontal="center"/>
    </xf>
    <xf numFmtId="49" fontId="0" fillId="9" borderId="10" xfId="0" applyNumberFormat="1" applyFill="1" applyBorder="1" applyAlignment="1" applyProtection="1">
      <alignment horizontal="center"/>
    </xf>
    <xf numFmtId="49" fontId="0" fillId="9" borderId="34" xfId="0" applyNumberFormat="1" applyFill="1" applyBorder="1" applyAlignment="1" applyProtection="1">
      <alignment horizontal="center"/>
    </xf>
    <xf numFmtId="49" fontId="9" fillId="9" borderId="33" xfId="0" applyNumberFormat="1" applyFont="1" applyFill="1" applyBorder="1" applyAlignment="1" applyProtection="1">
      <alignment horizontal="center"/>
    </xf>
    <xf numFmtId="0" fontId="2" fillId="2" borderId="0" xfId="0" applyFont="1" applyFill="1" applyProtection="1"/>
    <xf numFmtId="0" fontId="1" fillId="2" borderId="51" xfId="0" applyFont="1" applyFill="1" applyBorder="1" applyAlignment="1" applyProtection="1">
      <alignment horizontal="center"/>
    </xf>
    <xf numFmtId="0" fontId="1" fillId="2" borderId="49" xfId="0" applyFont="1" applyFill="1" applyBorder="1" applyAlignment="1" applyProtection="1">
      <alignment horizontal="center"/>
    </xf>
    <xf numFmtId="0" fontId="1" fillId="2" borderId="52" xfId="0" applyFont="1" applyFill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1" fillId="2" borderId="53" xfId="0" applyFont="1" applyFill="1" applyBorder="1" applyAlignment="1" applyProtection="1">
      <alignment horizontal="center"/>
    </xf>
    <xf numFmtId="0" fontId="1" fillId="2" borderId="38" xfId="0" applyFont="1" applyFill="1" applyBorder="1" applyAlignment="1" applyProtection="1">
      <alignment horizontal="center"/>
    </xf>
    <xf numFmtId="49" fontId="9" fillId="7" borderId="7" xfId="0" quotePrefix="1" applyNumberFormat="1" applyFont="1" applyFill="1" applyBorder="1" applyAlignment="1" applyProtection="1">
      <alignment horizontal="center"/>
      <protection locked="0"/>
    </xf>
    <xf numFmtId="49" fontId="9" fillId="7" borderId="8" xfId="0" quotePrefix="1" applyNumberFormat="1" applyFont="1" applyFill="1" applyBorder="1" applyAlignment="1" applyProtection="1">
      <alignment horizontal="center"/>
      <protection locked="0"/>
    </xf>
    <xf numFmtId="49" fontId="9" fillId="7" borderId="16" xfId="0" quotePrefix="1" applyNumberFormat="1" applyFont="1" applyFill="1" applyBorder="1" applyAlignment="1" applyProtection="1">
      <alignment horizontal="center"/>
      <protection locked="0"/>
    </xf>
    <xf numFmtId="49" fontId="9" fillId="7" borderId="33" xfId="0" applyNumberFormat="1" applyFont="1" applyFill="1" applyBorder="1" applyAlignment="1" applyProtection="1">
      <alignment horizontal="center"/>
      <protection locked="0"/>
    </xf>
    <xf numFmtId="49" fontId="9" fillId="7" borderId="10" xfId="0" applyNumberFormat="1" applyFont="1" applyFill="1" applyBorder="1" applyAlignment="1" applyProtection="1">
      <alignment horizontal="center"/>
      <protection locked="0"/>
    </xf>
    <xf numFmtId="49" fontId="9" fillId="7" borderId="12" xfId="0" applyNumberFormat="1" applyFont="1" applyFill="1" applyBorder="1" applyAlignment="1" applyProtection="1">
      <alignment horizontal="center"/>
      <protection locked="0"/>
    </xf>
    <xf numFmtId="49" fontId="9" fillId="7" borderId="13" xfId="0" applyNumberFormat="1" applyFont="1" applyFill="1" applyBorder="1" applyAlignment="1" applyProtection="1">
      <alignment horizontal="center"/>
      <protection locked="0"/>
    </xf>
    <xf numFmtId="49" fontId="9" fillId="7" borderId="34" xfId="0" applyNumberFormat="1" applyFont="1" applyFill="1" applyBorder="1" applyAlignment="1" applyProtection="1">
      <alignment horizontal="center"/>
      <protection locked="0"/>
    </xf>
    <xf numFmtId="0" fontId="24" fillId="2" borderId="55" xfId="0" applyFont="1" applyFill="1" applyBorder="1" applyProtection="1"/>
    <xf numFmtId="49" fontId="9" fillId="2" borderId="0" xfId="0" applyNumberFormat="1" applyFont="1" applyFill="1" applyBorder="1" applyProtection="1"/>
    <xf numFmtId="10" fontId="8" fillId="2" borderId="0" xfId="0" applyNumberFormat="1" applyFont="1" applyFill="1" applyAlignment="1">
      <alignment horizontal="left"/>
    </xf>
    <xf numFmtId="168" fontId="20" fillId="2" borderId="0" xfId="0" applyNumberFormat="1" applyFont="1" applyFill="1" applyAlignment="1">
      <alignment horizontal="left"/>
    </xf>
    <xf numFmtId="168" fontId="0" fillId="5" borderId="2" xfId="0" applyNumberFormat="1" applyFill="1" applyBorder="1" applyAlignment="1" applyProtection="1">
      <alignment horizontal="center"/>
      <protection locked="0"/>
    </xf>
    <xf numFmtId="0" fontId="20" fillId="2" borderId="0" xfId="0" applyFont="1" applyFill="1" applyAlignment="1">
      <alignment horizontal="left"/>
    </xf>
    <xf numFmtId="49" fontId="20" fillId="2" borderId="0" xfId="0" applyNumberFormat="1" applyFont="1" applyFill="1" applyAlignment="1">
      <alignment horizontal="left"/>
    </xf>
    <xf numFmtId="168" fontId="0" fillId="2" borderId="14" xfId="0" applyNumberFormat="1" applyFill="1" applyBorder="1" applyAlignment="1">
      <alignment horizontal="center"/>
    </xf>
    <xf numFmtId="165" fontId="0" fillId="2" borderId="33" xfId="0" applyNumberFormat="1" applyFill="1" applyBorder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9" fillId="5" borderId="6" xfId="0" applyFont="1" applyFill="1" applyBorder="1" applyAlignment="1" applyProtection="1">
      <alignment horizontal="left"/>
      <protection locked="0"/>
    </xf>
    <xf numFmtId="0" fontId="9" fillId="5" borderId="8" xfId="0" applyFont="1" applyFill="1" applyBorder="1" applyAlignment="1" applyProtection="1">
      <alignment horizontal="left"/>
      <protection locked="0"/>
    </xf>
    <xf numFmtId="0" fontId="9" fillId="5" borderId="9" xfId="0" applyFont="1" applyFill="1" applyBorder="1" applyAlignment="1" applyProtection="1">
      <alignment horizontal="left"/>
      <protection locked="0"/>
    </xf>
    <xf numFmtId="0" fontId="9" fillId="5" borderId="10" xfId="0" applyFont="1" applyFill="1" applyBorder="1" applyAlignment="1" applyProtection="1">
      <alignment horizontal="left"/>
      <protection locked="0"/>
    </xf>
    <xf numFmtId="0" fontId="9" fillId="5" borderId="11" xfId="0" applyFont="1" applyFill="1" applyBorder="1" applyAlignment="1" applyProtection="1">
      <alignment horizontal="left"/>
      <protection locked="0"/>
    </xf>
    <xf numFmtId="0" fontId="9" fillId="5" borderId="13" xfId="0" applyFont="1" applyFill="1" applyBorder="1" applyAlignment="1" applyProtection="1">
      <alignment horizontal="left"/>
      <protection locked="0"/>
    </xf>
    <xf numFmtId="0" fontId="1" fillId="2" borderId="0" xfId="0" applyFont="1" applyFill="1" applyBorder="1" applyAlignment="1">
      <alignment horizontal="center"/>
    </xf>
    <xf numFmtId="0" fontId="1" fillId="2" borderId="42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14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6" fontId="0" fillId="2" borderId="0" xfId="0" applyNumberFormat="1" applyFont="1" applyFill="1" applyAlignment="1">
      <alignment horizontal="left"/>
    </xf>
    <xf numFmtId="0" fontId="1" fillId="2" borderId="42" xfId="0" applyFont="1" applyFill="1" applyBorder="1" applyAlignment="1" applyProtection="1">
      <alignment horizontal="center"/>
    </xf>
    <xf numFmtId="0" fontId="1" fillId="2" borderId="43" xfId="0" applyFont="1" applyFill="1" applyBorder="1" applyAlignment="1" applyProtection="1">
      <alignment horizontal="center"/>
    </xf>
    <xf numFmtId="0" fontId="1" fillId="2" borderId="44" xfId="0" applyFont="1" applyFill="1" applyBorder="1" applyAlignment="1" applyProtection="1">
      <alignment horizontal="center"/>
    </xf>
    <xf numFmtId="49" fontId="25" fillId="3" borderId="6" xfId="0" quotePrefix="1" applyNumberFormat="1" applyFont="1" applyFill="1" applyBorder="1" applyAlignment="1" applyProtection="1">
      <alignment horizontal="center"/>
      <protection locked="0"/>
    </xf>
    <xf numFmtId="49" fontId="25" fillId="3" borderId="8" xfId="0" quotePrefix="1" applyNumberFormat="1" applyFont="1" applyFill="1" applyBorder="1" applyAlignment="1" applyProtection="1">
      <alignment horizontal="center"/>
      <protection locked="0"/>
    </xf>
    <xf numFmtId="2" fontId="26" fillId="0" borderId="59" xfId="0" applyNumberFormat="1" applyFont="1" applyFill="1" applyBorder="1" applyAlignment="1" applyProtection="1">
      <alignment horizontal="center"/>
      <protection locked="0"/>
    </xf>
    <xf numFmtId="49" fontId="25" fillId="3" borderId="58" xfId="0" applyNumberFormat="1" applyFont="1" applyFill="1" applyBorder="1" applyAlignment="1" applyProtection="1">
      <alignment horizontal="left"/>
      <protection locked="0"/>
    </xf>
    <xf numFmtId="0" fontId="25" fillId="7" borderId="60" xfId="0" applyNumberFormat="1" applyFont="1" applyFill="1" applyBorder="1" applyAlignment="1" applyProtection="1">
      <alignment horizontal="center"/>
      <protection locked="0"/>
    </xf>
    <xf numFmtId="1" fontId="25" fillId="7" borderId="60" xfId="0" applyNumberFormat="1" applyFont="1" applyFill="1" applyBorder="1" applyAlignment="1" applyProtection="1">
      <alignment horizontal="center"/>
      <protection locked="0"/>
    </xf>
    <xf numFmtId="1" fontId="25" fillId="7" borderId="8" xfId="0" applyNumberFormat="1" applyFont="1" applyFill="1" applyBorder="1" applyAlignment="1" applyProtection="1">
      <alignment horizontal="center"/>
      <protection locked="0"/>
    </xf>
    <xf numFmtId="49" fontId="25" fillId="3" borderId="9" xfId="0" quotePrefix="1" applyNumberFormat="1" applyFont="1" applyFill="1" applyBorder="1" applyAlignment="1" applyProtection="1">
      <alignment horizontal="center"/>
      <protection locked="0"/>
    </xf>
    <xf numFmtId="49" fontId="25" fillId="3" borderId="10" xfId="0" quotePrefix="1" applyNumberFormat="1" applyFont="1" applyFill="1" applyBorder="1" applyAlignment="1" applyProtection="1">
      <alignment horizontal="center"/>
      <protection locked="0"/>
    </xf>
    <xf numFmtId="49" fontId="25" fillId="3" borderId="3" xfId="0" applyNumberFormat="1" applyFont="1" applyFill="1" applyBorder="1" applyAlignment="1" applyProtection="1">
      <alignment horizontal="left"/>
      <protection locked="0"/>
    </xf>
    <xf numFmtId="1" fontId="25" fillId="7" borderId="14" xfId="0" quotePrefix="1" applyNumberFormat="1" applyFont="1" applyFill="1" applyBorder="1" applyAlignment="1" applyProtection="1">
      <alignment horizontal="center"/>
      <protection locked="0"/>
    </xf>
    <xf numFmtId="1" fontId="25" fillId="7" borderId="14" xfId="0" applyNumberFormat="1" applyFont="1" applyFill="1" applyBorder="1" applyAlignment="1" applyProtection="1">
      <alignment horizontal="center"/>
      <protection locked="0"/>
    </xf>
    <xf numFmtId="1" fontId="25" fillId="7" borderId="10" xfId="0" applyNumberFormat="1" applyFont="1" applyFill="1" applyBorder="1" applyAlignment="1" applyProtection="1">
      <alignment horizontal="center"/>
      <protection locked="0"/>
    </xf>
    <xf numFmtId="2" fontId="26" fillId="0" borderId="59" xfId="0" quotePrefix="1" applyNumberFormat="1" applyFont="1" applyFill="1" applyBorder="1" applyAlignment="1" applyProtection="1">
      <alignment horizontal="center"/>
      <protection locked="0"/>
    </xf>
    <xf numFmtId="49" fontId="25" fillId="3" borderId="9" xfId="0" applyNumberFormat="1" applyFont="1" applyFill="1" applyBorder="1" applyAlignment="1" applyProtection="1">
      <alignment horizontal="center"/>
      <protection locked="0"/>
    </xf>
    <xf numFmtId="49" fontId="25" fillId="3" borderId="11" xfId="0" quotePrefix="1" applyNumberFormat="1" applyFont="1" applyFill="1" applyBorder="1" applyAlignment="1" applyProtection="1">
      <alignment horizontal="center"/>
      <protection locked="0"/>
    </xf>
    <xf numFmtId="49" fontId="25" fillId="3" borderId="13" xfId="0" quotePrefix="1" applyNumberFormat="1" applyFont="1" applyFill="1" applyBorder="1" applyAlignment="1" applyProtection="1">
      <alignment horizontal="center"/>
      <protection locked="0"/>
    </xf>
    <xf numFmtId="49" fontId="25" fillId="3" borderId="4" xfId="0" applyNumberFormat="1" applyFont="1" applyFill="1" applyBorder="1" applyAlignment="1" applyProtection="1">
      <alignment horizontal="left"/>
      <protection locked="0"/>
    </xf>
    <xf numFmtId="1" fontId="25" fillId="7" borderId="32" xfId="0" applyNumberFormat="1" applyFont="1" applyFill="1" applyBorder="1" applyAlignment="1" applyProtection="1">
      <alignment horizontal="center"/>
      <protection locked="0"/>
    </xf>
    <xf numFmtId="49" fontId="25" fillId="3" borderId="11" xfId="0" applyNumberFormat="1" applyFont="1" applyFill="1" applyBorder="1" applyAlignment="1" applyProtection="1">
      <alignment horizontal="center"/>
      <protection locked="0"/>
    </xf>
    <xf numFmtId="1" fontId="25" fillId="7" borderId="13" xfId="0" applyNumberFormat="1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Staffing Plot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strRef>
              <c:f>Staffing!$B$28:$KC$28</c:f>
              <c:strCache>
                <c:ptCount val="288"/>
                <c:pt idx="0">
                  <c:v>0000</c:v>
                </c:pt>
                <c:pt idx="1">
                  <c:v>0005</c:v>
                </c:pt>
                <c:pt idx="2">
                  <c:v>0010</c:v>
                </c:pt>
                <c:pt idx="3">
                  <c:v>0015</c:v>
                </c:pt>
                <c:pt idx="4">
                  <c:v>0020</c:v>
                </c:pt>
                <c:pt idx="5">
                  <c:v>0025</c:v>
                </c:pt>
                <c:pt idx="6">
                  <c:v>0030</c:v>
                </c:pt>
                <c:pt idx="7">
                  <c:v>0035</c:v>
                </c:pt>
                <c:pt idx="8">
                  <c:v>0040</c:v>
                </c:pt>
                <c:pt idx="9">
                  <c:v>0045</c:v>
                </c:pt>
                <c:pt idx="10">
                  <c:v>0050</c:v>
                </c:pt>
                <c:pt idx="11">
                  <c:v>0055</c:v>
                </c:pt>
                <c:pt idx="12">
                  <c:v>0100</c:v>
                </c:pt>
                <c:pt idx="13">
                  <c:v>0105</c:v>
                </c:pt>
                <c:pt idx="14">
                  <c:v>0110</c:v>
                </c:pt>
                <c:pt idx="15">
                  <c:v>0115</c:v>
                </c:pt>
                <c:pt idx="16">
                  <c:v>0120</c:v>
                </c:pt>
                <c:pt idx="17">
                  <c:v>0125</c:v>
                </c:pt>
                <c:pt idx="18">
                  <c:v>0130</c:v>
                </c:pt>
                <c:pt idx="19">
                  <c:v>0135</c:v>
                </c:pt>
                <c:pt idx="20">
                  <c:v>0140</c:v>
                </c:pt>
                <c:pt idx="21">
                  <c:v>0145</c:v>
                </c:pt>
                <c:pt idx="22">
                  <c:v>0150</c:v>
                </c:pt>
                <c:pt idx="23">
                  <c:v>0155</c:v>
                </c:pt>
                <c:pt idx="24">
                  <c:v>0200</c:v>
                </c:pt>
                <c:pt idx="25">
                  <c:v>0205</c:v>
                </c:pt>
                <c:pt idx="26">
                  <c:v>0210</c:v>
                </c:pt>
                <c:pt idx="27">
                  <c:v>0215</c:v>
                </c:pt>
                <c:pt idx="28">
                  <c:v>0220</c:v>
                </c:pt>
                <c:pt idx="29">
                  <c:v>0225</c:v>
                </c:pt>
                <c:pt idx="30">
                  <c:v>0230</c:v>
                </c:pt>
                <c:pt idx="31">
                  <c:v>0235</c:v>
                </c:pt>
                <c:pt idx="32">
                  <c:v>0240</c:v>
                </c:pt>
                <c:pt idx="33">
                  <c:v>0245</c:v>
                </c:pt>
                <c:pt idx="34">
                  <c:v>0250</c:v>
                </c:pt>
                <c:pt idx="35">
                  <c:v>0255</c:v>
                </c:pt>
                <c:pt idx="36">
                  <c:v>0300</c:v>
                </c:pt>
                <c:pt idx="37">
                  <c:v>0305</c:v>
                </c:pt>
                <c:pt idx="38">
                  <c:v>0310</c:v>
                </c:pt>
                <c:pt idx="39">
                  <c:v>0315</c:v>
                </c:pt>
                <c:pt idx="40">
                  <c:v>0320</c:v>
                </c:pt>
                <c:pt idx="41">
                  <c:v>0325</c:v>
                </c:pt>
                <c:pt idx="42">
                  <c:v>0330</c:v>
                </c:pt>
                <c:pt idx="43">
                  <c:v>0335</c:v>
                </c:pt>
                <c:pt idx="44">
                  <c:v>0340</c:v>
                </c:pt>
                <c:pt idx="45">
                  <c:v>0345</c:v>
                </c:pt>
                <c:pt idx="46">
                  <c:v>0350</c:v>
                </c:pt>
                <c:pt idx="47">
                  <c:v>0355</c:v>
                </c:pt>
                <c:pt idx="48">
                  <c:v>0400</c:v>
                </c:pt>
                <c:pt idx="49">
                  <c:v>0405</c:v>
                </c:pt>
                <c:pt idx="50">
                  <c:v>0410</c:v>
                </c:pt>
                <c:pt idx="51">
                  <c:v>0415</c:v>
                </c:pt>
                <c:pt idx="52">
                  <c:v>0420</c:v>
                </c:pt>
                <c:pt idx="53">
                  <c:v>0425</c:v>
                </c:pt>
                <c:pt idx="54">
                  <c:v>0430</c:v>
                </c:pt>
                <c:pt idx="55">
                  <c:v>0435</c:v>
                </c:pt>
                <c:pt idx="56">
                  <c:v>0440</c:v>
                </c:pt>
                <c:pt idx="57">
                  <c:v>0445</c:v>
                </c:pt>
                <c:pt idx="58">
                  <c:v>0450</c:v>
                </c:pt>
                <c:pt idx="59">
                  <c:v>0455</c:v>
                </c:pt>
                <c:pt idx="60">
                  <c:v>0500</c:v>
                </c:pt>
                <c:pt idx="61">
                  <c:v>0505</c:v>
                </c:pt>
                <c:pt idx="62">
                  <c:v>0510</c:v>
                </c:pt>
                <c:pt idx="63">
                  <c:v>0515</c:v>
                </c:pt>
                <c:pt idx="64">
                  <c:v>0520</c:v>
                </c:pt>
                <c:pt idx="65">
                  <c:v>0525</c:v>
                </c:pt>
                <c:pt idx="66">
                  <c:v>0530</c:v>
                </c:pt>
                <c:pt idx="67">
                  <c:v>0535</c:v>
                </c:pt>
                <c:pt idx="68">
                  <c:v>0540</c:v>
                </c:pt>
                <c:pt idx="69">
                  <c:v>0545</c:v>
                </c:pt>
                <c:pt idx="70">
                  <c:v>0550</c:v>
                </c:pt>
                <c:pt idx="71">
                  <c:v>0555</c:v>
                </c:pt>
                <c:pt idx="72">
                  <c:v>0600</c:v>
                </c:pt>
                <c:pt idx="73">
                  <c:v>0605</c:v>
                </c:pt>
                <c:pt idx="74">
                  <c:v>0610</c:v>
                </c:pt>
                <c:pt idx="75">
                  <c:v>0615</c:v>
                </c:pt>
                <c:pt idx="76">
                  <c:v>0620</c:v>
                </c:pt>
                <c:pt idx="77">
                  <c:v>0625</c:v>
                </c:pt>
                <c:pt idx="78">
                  <c:v>0630</c:v>
                </c:pt>
                <c:pt idx="79">
                  <c:v>0635</c:v>
                </c:pt>
                <c:pt idx="80">
                  <c:v>0640</c:v>
                </c:pt>
                <c:pt idx="81">
                  <c:v>0645</c:v>
                </c:pt>
                <c:pt idx="82">
                  <c:v>0650</c:v>
                </c:pt>
                <c:pt idx="83">
                  <c:v>0655</c:v>
                </c:pt>
                <c:pt idx="84">
                  <c:v>0700</c:v>
                </c:pt>
                <c:pt idx="85">
                  <c:v>0705</c:v>
                </c:pt>
                <c:pt idx="86">
                  <c:v>0710</c:v>
                </c:pt>
                <c:pt idx="87">
                  <c:v>0715</c:v>
                </c:pt>
                <c:pt idx="88">
                  <c:v>0720</c:v>
                </c:pt>
                <c:pt idx="89">
                  <c:v>0725</c:v>
                </c:pt>
                <c:pt idx="90">
                  <c:v>0730</c:v>
                </c:pt>
                <c:pt idx="91">
                  <c:v>0735</c:v>
                </c:pt>
                <c:pt idx="92">
                  <c:v>0740</c:v>
                </c:pt>
                <c:pt idx="93">
                  <c:v>0745</c:v>
                </c:pt>
                <c:pt idx="94">
                  <c:v>0750</c:v>
                </c:pt>
                <c:pt idx="95">
                  <c:v>0755</c:v>
                </c:pt>
                <c:pt idx="96">
                  <c:v>0800</c:v>
                </c:pt>
                <c:pt idx="97">
                  <c:v>0805</c:v>
                </c:pt>
                <c:pt idx="98">
                  <c:v>0810</c:v>
                </c:pt>
                <c:pt idx="99">
                  <c:v>0815</c:v>
                </c:pt>
                <c:pt idx="100">
                  <c:v>0820</c:v>
                </c:pt>
                <c:pt idx="101">
                  <c:v>0825</c:v>
                </c:pt>
                <c:pt idx="102">
                  <c:v>0830</c:v>
                </c:pt>
                <c:pt idx="103">
                  <c:v>0835</c:v>
                </c:pt>
                <c:pt idx="104">
                  <c:v>0840</c:v>
                </c:pt>
                <c:pt idx="105">
                  <c:v>0845</c:v>
                </c:pt>
                <c:pt idx="106">
                  <c:v>0850</c:v>
                </c:pt>
                <c:pt idx="107">
                  <c:v>0855</c:v>
                </c:pt>
                <c:pt idx="108">
                  <c:v>0900</c:v>
                </c:pt>
                <c:pt idx="109">
                  <c:v>0905</c:v>
                </c:pt>
                <c:pt idx="110">
                  <c:v>0910</c:v>
                </c:pt>
                <c:pt idx="111">
                  <c:v>0915</c:v>
                </c:pt>
                <c:pt idx="112">
                  <c:v>0920</c:v>
                </c:pt>
                <c:pt idx="113">
                  <c:v>0925</c:v>
                </c:pt>
                <c:pt idx="114">
                  <c:v>0930</c:v>
                </c:pt>
                <c:pt idx="115">
                  <c:v>0935</c:v>
                </c:pt>
                <c:pt idx="116">
                  <c:v>0940</c:v>
                </c:pt>
                <c:pt idx="117">
                  <c:v>0945</c:v>
                </c:pt>
                <c:pt idx="118">
                  <c:v>0950</c:v>
                </c:pt>
                <c:pt idx="119">
                  <c:v>0955</c:v>
                </c:pt>
                <c:pt idx="120">
                  <c:v>1000</c:v>
                </c:pt>
                <c:pt idx="121">
                  <c:v>1005</c:v>
                </c:pt>
                <c:pt idx="122">
                  <c:v>1010</c:v>
                </c:pt>
                <c:pt idx="123">
                  <c:v>1015</c:v>
                </c:pt>
                <c:pt idx="124">
                  <c:v>1020</c:v>
                </c:pt>
                <c:pt idx="125">
                  <c:v>1025</c:v>
                </c:pt>
                <c:pt idx="126">
                  <c:v>1030</c:v>
                </c:pt>
                <c:pt idx="127">
                  <c:v>1035</c:v>
                </c:pt>
                <c:pt idx="128">
                  <c:v>1040</c:v>
                </c:pt>
                <c:pt idx="129">
                  <c:v>1045</c:v>
                </c:pt>
                <c:pt idx="130">
                  <c:v>1050</c:v>
                </c:pt>
                <c:pt idx="131">
                  <c:v>1055</c:v>
                </c:pt>
                <c:pt idx="132">
                  <c:v>1100</c:v>
                </c:pt>
                <c:pt idx="133">
                  <c:v>1105</c:v>
                </c:pt>
                <c:pt idx="134">
                  <c:v>1110</c:v>
                </c:pt>
                <c:pt idx="135">
                  <c:v>1115</c:v>
                </c:pt>
                <c:pt idx="136">
                  <c:v>1120</c:v>
                </c:pt>
                <c:pt idx="137">
                  <c:v>1125</c:v>
                </c:pt>
                <c:pt idx="138">
                  <c:v>1130</c:v>
                </c:pt>
                <c:pt idx="139">
                  <c:v>1135</c:v>
                </c:pt>
                <c:pt idx="140">
                  <c:v>1140</c:v>
                </c:pt>
                <c:pt idx="141">
                  <c:v>1145</c:v>
                </c:pt>
                <c:pt idx="142">
                  <c:v>1150</c:v>
                </c:pt>
                <c:pt idx="143">
                  <c:v>1155</c:v>
                </c:pt>
                <c:pt idx="144">
                  <c:v>1200</c:v>
                </c:pt>
                <c:pt idx="145">
                  <c:v>1205</c:v>
                </c:pt>
                <c:pt idx="146">
                  <c:v>1210</c:v>
                </c:pt>
                <c:pt idx="147">
                  <c:v>1215</c:v>
                </c:pt>
                <c:pt idx="148">
                  <c:v>1220</c:v>
                </c:pt>
                <c:pt idx="149">
                  <c:v>1225</c:v>
                </c:pt>
                <c:pt idx="150">
                  <c:v>1230</c:v>
                </c:pt>
                <c:pt idx="151">
                  <c:v>1235</c:v>
                </c:pt>
                <c:pt idx="152">
                  <c:v>1240</c:v>
                </c:pt>
                <c:pt idx="153">
                  <c:v>1245</c:v>
                </c:pt>
                <c:pt idx="154">
                  <c:v>1250</c:v>
                </c:pt>
                <c:pt idx="155">
                  <c:v>1255</c:v>
                </c:pt>
                <c:pt idx="156">
                  <c:v>1300</c:v>
                </c:pt>
                <c:pt idx="157">
                  <c:v>1305</c:v>
                </c:pt>
                <c:pt idx="158">
                  <c:v>1310</c:v>
                </c:pt>
                <c:pt idx="159">
                  <c:v>1315</c:v>
                </c:pt>
                <c:pt idx="160">
                  <c:v>1320</c:v>
                </c:pt>
                <c:pt idx="161">
                  <c:v>1325</c:v>
                </c:pt>
                <c:pt idx="162">
                  <c:v>1330</c:v>
                </c:pt>
                <c:pt idx="163">
                  <c:v>1335</c:v>
                </c:pt>
                <c:pt idx="164">
                  <c:v>1340</c:v>
                </c:pt>
                <c:pt idx="165">
                  <c:v>1345</c:v>
                </c:pt>
                <c:pt idx="166">
                  <c:v>1350</c:v>
                </c:pt>
                <c:pt idx="167">
                  <c:v>1355</c:v>
                </c:pt>
                <c:pt idx="168">
                  <c:v>1400</c:v>
                </c:pt>
                <c:pt idx="169">
                  <c:v>1405</c:v>
                </c:pt>
                <c:pt idx="170">
                  <c:v>1410</c:v>
                </c:pt>
                <c:pt idx="171">
                  <c:v>1415</c:v>
                </c:pt>
                <c:pt idx="172">
                  <c:v>1420</c:v>
                </c:pt>
                <c:pt idx="173">
                  <c:v>1425</c:v>
                </c:pt>
                <c:pt idx="174">
                  <c:v>1430</c:v>
                </c:pt>
                <c:pt idx="175">
                  <c:v>1435</c:v>
                </c:pt>
                <c:pt idx="176">
                  <c:v>1440</c:v>
                </c:pt>
                <c:pt idx="177">
                  <c:v>1445</c:v>
                </c:pt>
                <c:pt idx="178">
                  <c:v>1450</c:v>
                </c:pt>
                <c:pt idx="179">
                  <c:v>1455</c:v>
                </c:pt>
                <c:pt idx="180">
                  <c:v>1500</c:v>
                </c:pt>
                <c:pt idx="181">
                  <c:v>1505</c:v>
                </c:pt>
                <c:pt idx="182">
                  <c:v>1510</c:v>
                </c:pt>
                <c:pt idx="183">
                  <c:v>1515</c:v>
                </c:pt>
                <c:pt idx="184">
                  <c:v>1520</c:v>
                </c:pt>
                <c:pt idx="185">
                  <c:v>1525</c:v>
                </c:pt>
                <c:pt idx="186">
                  <c:v>1530</c:v>
                </c:pt>
                <c:pt idx="187">
                  <c:v>1535</c:v>
                </c:pt>
                <c:pt idx="188">
                  <c:v>1540</c:v>
                </c:pt>
                <c:pt idx="189">
                  <c:v>1545</c:v>
                </c:pt>
                <c:pt idx="190">
                  <c:v>1550</c:v>
                </c:pt>
                <c:pt idx="191">
                  <c:v>1555</c:v>
                </c:pt>
                <c:pt idx="192">
                  <c:v>1600</c:v>
                </c:pt>
                <c:pt idx="193">
                  <c:v>1605</c:v>
                </c:pt>
                <c:pt idx="194">
                  <c:v>1610</c:v>
                </c:pt>
                <c:pt idx="195">
                  <c:v>1615</c:v>
                </c:pt>
                <c:pt idx="196">
                  <c:v>1620</c:v>
                </c:pt>
                <c:pt idx="197">
                  <c:v>1625</c:v>
                </c:pt>
                <c:pt idx="198">
                  <c:v>1630</c:v>
                </c:pt>
                <c:pt idx="199">
                  <c:v>1635</c:v>
                </c:pt>
                <c:pt idx="200">
                  <c:v>1640</c:v>
                </c:pt>
                <c:pt idx="201">
                  <c:v>1645</c:v>
                </c:pt>
                <c:pt idx="202">
                  <c:v>1650</c:v>
                </c:pt>
                <c:pt idx="203">
                  <c:v>1655</c:v>
                </c:pt>
                <c:pt idx="204">
                  <c:v>1700</c:v>
                </c:pt>
                <c:pt idx="205">
                  <c:v>1705</c:v>
                </c:pt>
                <c:pt idx="206">
                  <c:v>1710</c:v>
                </c:pt>
                <c:pt idx="207">
                  <c:v>1715</c:v>
                </c:pt>
                <c:pt idx="208">
                  <c:v>1720</c:v>
                </c:pt>
                <c:pt idx="209">
                  <c:v>1725</c:v>
                </c:pt>
                <c:pt idx="210">
                  <c:v>1730</c:v>
                </c:pt>
                <c:pt idx="211">
                  <c:v>1735</c:v>
                </c:pt>
                <c:pt idx="212">
                  <c:v>1740</c:v>
                </c:pt>
                <c:pt idx="213">
                  <c:v>1745</c:v>
                </c:pt>
                <c:pt idx="214">
                  <c:v>1750</c:v>
                </c:pt>
                <c:pt idx="215">
                  <c:v>1755</c:v>
                </c:pt>
                <c:pt idx="216">
                  <c:v>1800</c:v>
                </c:pt>
                <c:pt idx="217">
                  <c:v>1805</c:v>
                </c:pt>
                <c:pt idx="218">
                  <c:v>1810</c:v>
                </c:pt>
                <c:pt idx="219">
                  <c:v>1815</c:v>
                </c:pt>
                <c:pt idx="220">
                  <c:v>1820</c:v>
                </c:pt>
                <c:pt idx="221">
                  <c:v>1825</c:v>
                </c:pt>
                <c:pt idx="222">
                  <c:v>1830</c:v>
                </c:pt>
                <c:pt idx="223">
                  <c:v>1835</c:v>
                </c:pt>
                <c:pt idx="224">
                  <c:v>1840</c:v>
                </c:pt>
                <c:pt idx="225">
                  <c:v>1845</c:v>
                </c:pt>
                <c:pt idx="226">
                  <c:v>1850</c:v>
                </c:pt>
                <c:pt idx="227">
                  <c:v>1855</c:v>
                </c:pt>
                <c:pt idx="228">
                  <c:v>1900</c:v>
                </c:pt>
                <c:pt idx="229">
                  <c:v>1905</c:v>
                </c:pt>
                <c:pt idx="230">
                  <c:v>1910</c:v>
                </c:pt>
                <c:pt idx="231">
                  <c:v>1915</c:v>
                </c:pt>
                <c:pt idx="232">
                  <c:v>1920</c:v>
                </c:pt>
                <c:pt idx="233">
                  <c:v>1925</c:v>
                </c:pt>
                <c:pt idx="234">
                  <c:v>1930</c:v>
                </c:pt>
                <c:pt idx="235">
                  <c:v>1935</c:v>
                </c:pt>
                <c:pt idx="236">
                  <c:v>1940</c:v>
                </c:pt>
                <c:pt idx="237">
                  <c:v>1945</c:v>
                </c:pt>
                <c:pt idx="238">
                  <c:v>1950</c:v>
                </c:pt>
                <c:pt idx="239">
                  <c:v>1955</c:v>
                </c:pt>
                <c:pt idx="240">
                  <c:v>2000</c:v>
                </c:pt>
                <c:pt idx="241">
                  <c:v>2005</c:v>
                </c:pt>
                <c:pt idx="242">
                  <c:v>2010</c:v>
                </c:pt>
                <c:pt idx="243">
                  <c:v>2015</c:v>
                </c:pt>
                <c:pt idx="244">
                  <c:v>2020</c:v>
                </c:pt>
                <c:pt idx="245">
                  <c:v>2025</c:v>
                </c:pt>
                <c:pt idx="246">
                  <c:v>2030</c:v>
                </c:pt>
                <c:pt idx="247">
                  <c:v>2035</c:v>
                </c:pt>
                <c:pt idx="248">
                  <c:v>2040</c:v>
                </c:pt>
                <c:pt idx="249">
                  <c:v>2045</c:v>
                </c:pt>
                <c:pt idx="250">
                  <c:v>2050</c:v>
                </c:pt>
                <c:pt idx="251">
                  <c:v>2055</c:v>
                </c:pt>
                <c:pt idx="252">
                  <c:v>2100</c:v>
                </c:pt>
                <c:pt idx="253">
                  <c:v>2105</c:v>
                </c:pt>
                <c:pt idx="254">
                  <c:v>2110</c:v>
                </c:pt>
                <c:pt idx="255">
                  <c:v>2115</c:v>
                </c:pt>
                <c:pt idx="256">
                  <c:v>2120</c:v>
                </c:pt>
                <c:pt idx="257">
                  <c:v>2125</c:v>
                </c:pt>
                <c:pt idx="258">
                  <c:v>2130</c:v>
                </c:pt>
                <c:pt idx="259">
                  <c:v>2135</c:v>
                </c:pt>
                <c:pt idx="260">
                  <c:v>2140</c:v>
                </c:pt>
                <c:pt idx="261">
                  <c:v>2145</c:v>
                </c:pt>
                <c:pt idx="262">
                  <c:v>2150</c:v>
                </c:pt>
                <c:pt idx="263">
                  <c:v>2155</c:v>
                </c:pt>
                <c:pt idx="264">
                  <c:v>2200</c:v>
                </c:pt>
                <c:pt idx="265">
                  <c:v>2205</c:v>
                </c:pt>
                <c:pt idx="266">
                  <c:v>2210</c:v>
                </c:pt>
                <c:pt idx="267">
                  <c:v>2215</c:v>
                </c:pt>
                <c:pt idx="268">
                  <c:v>2220</c:v>
                </c:pt>
                <c:pt idx="269">
                  <c:v>2225</c:v>
                </c:pt>
                <c:pt idx="270">
                  <c:v>2230</c:v>
                </c:pt>
                <c:pt idx="271">
                  <c:v>2235</c:v>
                </c:pt>
                <c:pt idx="272">
                  <c:v>2240</c:v>
                </c:pt>
                <c:pt idx="273">
                  <c:v>2245</c:v>
                </c:pt>
                <c:pt idx="274">
                  <c:v>2250</c:v>
                </c:pt>
                <c:pt idx="275">
                  <c:v>2255</c:v>
                </c:pt>
                <c:pt idx="276">
                  <c:v>2300</c:v>
                </c:pt>
                <c:pt idx="277">
                  <c:v>2305</c:v>
                </c:pt>
                <c:pt idx="278">
                  <c:v>2310</c:v>
                </c:pt>
                <c:pt idx="279">
                  <c:v>2315</c:v>
                </c:pt>
                <c:pt idx="280">
                  <c:v>2320</c:v>
                </c:pt>
                <c:pt idx="281">
                  <c:v>2325</c:v>
                </c:pt>
                <c:pt idx="282">
                  <c:v>2330</c:v>
                </c:pt>
                <c:pt idx="283">
                  <c:v>2335</c:v>
                </c:pt>
                <c:pt idx="284">
                  <c:v>2340</c:v>
                </c:pt>
                <c:pt idx="285">
                  <c:v>2345</c:v>
                </c:pt>
                <c:pt idx="286">
                  <c:v>2350</c:v>
                </c:pt>
                <c:pt idx="287">
                  <c:v>2355</c:v>
                </c:pt>
              </c:strCache>
            </c:strRef>
          </c:cat>
          <c:val>
            <c:numRef>
              <c:f>Staffing!$B$27:$KC$27</c:f>
              <c:numCache>
                <c:formatCode>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790656"/>
        <c:axId val="55939584"/>
      </c:lineChart>
      <c:catAx>
        <c:axId val="1187906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crossAx val="55939584"/>
        <c:crosses val="autoZero"/>
        <c:auto val="1"/>
        <c:lblAlgn val="ctr"/>
        <c:lblOffset val="100"/>
        <c:noMultiLvlLbl val="0"/>
      </c:catAx>
      <c:valAx>
        <c:axId val="55939584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118790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694640400433219E-2"/>
          <c:y val="5.1400554097404488E-2"/>
          <c:w val="0.96053800895705876"/>
          <c:h val="0.79523549139690874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strRef>
              <c:f>Staffing!$B$28:$KC$28</c:f>
              <c:strCache>
                <c:ptCount val="288"/>
                <c:pt idx="0">
                  <c:v>0000</c:v>
                </c:pt>
                <c:pt idx="1">
                  <c:v>0005</c:v>
                </c:pt>
                <c:pt idx="2">
                  <c:v>0010</c:v>
                </c:pt>
                <c:pt idx="3">
                  <c:v>0015</c:v>
                </c:pt>
                <c:pt idx="4">
                  <c:v>0020</c:v>
                </c:pt>
                <c:pt idx="5">
                  <c:v>0025</c:v>
                </c:pt>
                <c:pt idx="6">
                  <c:v>0030</c:v>
                </c:pt>
                <c:pt idx="7">
                  <c:v>0035</c:v>
                </c:pt>
                <c:pt idx="8">
                  <c:v>0040</c:v>
                </c:pt>
                <c:pt idx="9">
                  <c:v>0045</c:v>
                </c:pt>
                <c:pt idx="10">
                  <c:v>0050</c:v>
                </c:pt>
                <c:pt idx="11">
                  <c:v>0055</c:v>
                </c:pt>
                <c:pt idx="12">
                  <c:v>0100</c:v>
                </c:pt>
                <c:pt idx="13">
                  <c:v>0105</c:v>
                </c:pt>
                <c:pt idx="14">
                  <c:v>0110</c:v>
                </c:pt>
                <c:pt idx="15">
                  <c:v>0115</c:v>
                </c:pt>
                <c:pt idx="16">
                  <c:v>0120</c:v>
                </c:pt>
                <c:pt idx="17">
                  <c:v>0125</c:v>
                </c:pt>
                <c:pt idx="18">
                  <c:v>0130</c:v>
                </c:pt>
                <c:pt idx="19">
                  <c:v>0135</c:v>
                </c:pt>
                <c:pt idx="20">
                  <c:v>0140</c:v>
                </c:pt>
                <c:pt idx="21">
                  <c:v>0145</c:v>
                </c:pt>
                <c:pt idx="22">
                  <c:v>0150</c:v>
                </c:pt>
                <c:pt idx="23">
                  <c:v>0155</c:v>
                </c:pt>
                <c:pt idx="24">
                  <c:v>0200</c:v>
                </c:pt>
                <c:pt idx="25">
                  <c:v>0205</c:v>
                </c:pt>
                <c:pt idx="26">
                  <c:v>0210</c:v>
                </c:pt>
                <c:pt idx="27">
                  <c:v>0215</c:v>
                </c:pt>
                <c:pt idx="28">
                  <c:v>0220</c:v>
                </c:pt>
                <c:pt idx="29">
                  <c:v>0225</c:v>
                </c:pt>
                <c:pt idx="30">
                  <c:v>0230</c:v>
                </c:pt>
                <c:pt idx="31">
                  <c:v>0235</c:v>
                </c:pt>
                <c:pt idx="32">
                  <c:v>0240</c:v>
                </c:pt>
                <c:pt idx="33">
                  <c:v>0245</c:v>
                </c:pt>
                <c:pt idx="34">
                  <c:v>0250</c:v>
                </c:pt>
                <c:pt idx="35">
                  <c:v>0255</c:v>
                </c:pt>
                <c:pt idx="36">
                  <c:v>0300</c:v>
                </c:pt>
                <c:pt idx="37">
                  <c:v>0305</c:v>
                </c:pt>
                <c:pt idx="38">
                  <c:v>0310</c:v>
                </c:pt>
                <c:pt idx="39">
                  <c:v>0315</c:v>
                </c:pt>
                <c:pt idx="40">
                  <c:v>0320</c:v>
                </c:pt>
                <c:pt idx="41">
                  <c:v>0325</c:v>
                </c:pt>
                <c:pt idx="42">
                  <c:v>0330</c:v>
                </c:pt>
                <c:pt idx="43">
                  <c:v>0335</c:v>
                </c:pt>
                <c:pt idx="44">
                  <c:v>0340</c:v>
                </c:pt>
                <c:pt idx="45">
                  <c:v>0345</c:v>
                </c:pt>
                <c:pt idx="46">
                  <c:v>0350</c:v>
                </c:pt>
                <c:pt idx="47">
                  <c:v>0355</c:v>
                </c:pt>
                <c:pt idx="48">
                  <c:v>0400</c:v>
                </c:pt>
                <c:pt idx="49">
                  <c:v>0405</c:v>
                </c:pt>
                <c:pt idx="50">
                  <c:v>0410</c:v>
                </c:pt>
                <c:pt idx="51">
                  <c:v>0415</c:v>
                </c:pt>
                <c:pt idx="52">
                  <c:v>0420</c:v>
                </c:pt>
                <c:pt idx="53">
                  <c:v>0425</c:v>
                </c:pt>
                <c:pt idx="54">
                  <c:v>0430</c:v>
                </c:pt>
                <c:pt idx="55">
                  <c:v>0435</c:v>
                </c:pt>
                <c:pt idx="56">
                  <c:v>0440</c:v>
                </c:pt>
                <c:pt idx="57">
                  <c:v>0445</c:v>
                </c:pt>
                <c:pt idx="58">
                  <c:v>0450</c:v>
                </c:pt>
                <c:pt idx="59">
                  <c:v>0455</c:v>
                </c:pt>
                <c:pt idx="60">
                  <c:v>0500</c:v>
                </c:pt>
                <c:pt idx="61">
                  <c:v>0505</c:v>
                </c:pt>
                <c:pt idx="62">
                  <c:v>0510</c:v>
                </c:pt>
                <c:pt idx="63">
                  <c:v>0515</c:v>
                </c:pt>
                <c:pt idx="64">
                  <c:v>0520</c:v>
                </c:pt>
                <c:pt idx="65">
                  <c:v>0525</c:v>
                </c:pt>
                <c:pt idx="66">
                  <c:v>0530</c:v>
                </c:pt>
                <c:pt idx="67">
                  <c:v>0535</c:v>
                </c:pt>
                <c:pt idx="68">
                  <c:v>0540</c:v>
                </c:pt>
                <c:pt idx="69">
                  <c:v>0545</c:v>
                </c:pt>
                <c:pt idx="70">
                  <c:v>0550</c:v>
                </c:pt>
                <c:pt idx="71">
                  <c:v>0555</c:v>
                </c:pt>
                <c:pt idx="72">
                  <c:v>0600</c:v>
                </c:pt>
                <c:pt idx="73">
                  <c:v>0605</c:v>
                </c:pt>
                <c:pt idx="74">
                  <c:v>0610</c:v>
                </c:pt>
                <c:pt idx="75">
                  <c:v>0615</c:v>
                </c:pt>
                <c:pt idx="76">
                  <c:v>0620</c:v>
                </c:pt>
                <c:pt idx="77">
                  <c:v>0625</c:v>
                </c:pt>
                <c:pt idx="78">
                  <c:v>0630</c:v>
                </c:pt>
                <c:pt idx="79">
                  <c:v>0635</c:v>
                </c:pt>
                <c:pt idx="80">
                  <c:v>0640</c:v>
                </c:pt>
                <c:pt idx="81">
                  <c:v>0645</c:v>
                </c:pt>
                <c:pt idx="82">
                  <c:v>0650</c:v>
                </c:pt>
                <c:pt idx="83">
                  <c:v>0655</c:v>
                </c:pt>
                <c:pt idx="84">
                  <c:v>0700</c:v>
                </c:pt>
                <c:pt idx="85">
                  <c:v>0705</c:v>
                </c:pt>
                <c:pt idx="86">
                  <c:v>0710</c:v>
                </c:pt>
                <c:pt idx="87">
                  <c:v>0715</c:v>
                </c:pt>
                <c:pt idx="88">
                  <c:v>0720</c:v>
                </c:pt>
                <c:pt idx="89">
                  <c:v>0725</c:v>
                </c:pt>
                <c:pt idx="90">
                  <c:v>0730</c:v>
                </c:pt>
                <c:pt idx="91">
                  <c:v>0735</c:v>
                </c:pt>
                <c:pt idx="92">
                  <c:v>0740</c:v>
                </c:pt>
                <c:pt idx="93">
                  <c:v>0745</c:v>
                </c:pt>
                <c:pt idx="94">
                  <c:v>0750</c:v>
                </c:pt>
                <c:pt idx="95">
                  <c:v>0755</c:v>
                </c:pt>
                <c:pt idx="96">
                  <c:v>0800</c:v>
                </c:pt>
                <c:pt idx="97">
                  <c:v>0805</c:v>
                </c:pt>
                <c:pt idx="98">
                  <c:v>0810</c:v>
                </c:pt>
                <c:pt idx="99">
                  <c:v>0815</c:v>
                </c:pt>
                <c:pt idx="100">
                  <c:v>0820</c:v>
                </c:pt>
                <c:pt idx="101">
                  <c:v>0825</c:v>
                </c:pt>
                <c:pt idx="102">
                  <c:v>0830</c:v>
                </c:pt>
                <c:pt idx="103">
                  <c:v>0835</c:v>
                </c:pt>
                <c:pt idx="104">
                  <c:v>0840</c:v>
                </c:pt>
                <c:pt idx="105">
                  <c:v>0845</c:v>
                </c:pt>
                <c:pt idx="106">
                  <c:v>0850</c:v>
                </c:pt>
                <c:pt idx="107">
                  <c:v>0855</c:v>
                </c:pt>
                <c:pt idx="108">
                  <c:v>0900</c:v>
                </c:pt>
                <c:pt idx="109">
                  <c:v>0905</c:v>
                </c:pt>
                <c:pt idx="110">
                  <c:v>0910</c:v>
                </c:pt>
                <c:pt idx="111">
                  <c:v>0915</c:v>
                </c:pt>
                <c:pt idx="112">
                  <c:v>0920</c:v>
                </c:pt>
                <c:pt idx="113">
                  <c:v>0925</c:v>
                </c:pt>
                <c:pt idx="114">
                  <c:v>0930</c:v>
                </c:pt>
                <c:pt idx="115">
                  <c:v>0935</c:v>
                </c:pt>
                <c:pt idx="116">
                  <c:v>0940</c:v>
                </c:pt>
                <c:pt idx="117">
                  <c:v>0945</c:v>
                </c:pt>
                <c:pt idx="118">
                  <c:v>0950</c:v>
                </c:pt>
                <c:pt idx="119">
                  <c:v>0955</c:v>
                </c:pt>
                <c:pt idx="120">
                  <c:v>1000</c:v>
                </c:pt>
                <c:pt idx="121">
                  <c:v>1005</c:v>
                </c:pt>
                <c:pt idx="122">
                  <c:v>1010</c:v>
                </c:pt>
                <c:pt idx="123">
                  <c:v>1015</c:v>
                </c:pt>
                <c:pt idx="124">
                  <c:v>1020</c:v>
                </c:pt>
                <c:pt idx="125">
                  <c:v>1025</c:v>
                </c:pt>
                <c:pt idx="126">
                  <c:v>1030</c:v>
                </c:pt>
                <c:pt idx="127">
                  <c:v>1035</c:v>
                </c:pt>
                <c:pt idx="128">
                  <c:v>1040</c:v>
                </c:pt>
                <c:pt idx="129">
                  <c:v>1045</c:v>
                </c:pt>
                <c:pt idx="130">
                  <c:v>1050</c:v>
                </c:pt>
                <c:pt idx="131">
                  <c:v>1055</c:v>
                </c:pt>
                <c:pt idx="132">
                  <c:v>1100</c:v>
                </c:pt>
                <c:pt idx="133">
                  <c:v>1105</c:v>
                </c:pt>
                <c:pt idx="134">
                  <c:v>1110</c:v>
                </c:pt>
                <c:pt idx="135">
                  <c:v>1115</c:v>
                </c:pt>
                <c:pt idx="136">
                  <c:v>1120</c:v>
                </c:pt>
                <c:pt idx="137">
                  <c:v>1125</c:v>
                </c:pt>
                <c:pt idx="138">
                  <c:v>1130</c:v>
                </c:pt>
                <c:pt idx="139">
                  <c:v>1135</c:v>
                </c:pt>
                <c:pt idx="140">
                  <c:v>1140</c:v>
                </c:pt>
                <c:pt idx="141">
                  <c:v>1145</c:v>
                </c:pt>
                <c:pt idx="142">
                  <c:v>1150</c:v>
                </c:pt>
                <c:pt idx="143">
                  <c:v>1155</c:v>
                </c:pt>
                <c:pt idx="144">
                  <c:v>1200</c:v>
                </c:pt>
                <c:pt idx="145">
                  <c:v>1205</c:v>
                </c:pt>
                <c:pt idx="146">
                  <c:v>1210</c:v>
                </c:pt>
                <c:pt idx="147">
                  <c:v>1215</c:v>
                </c:pt>
                <c:pt idx="148">
                  <c:v>1220</c:v>
                </c:pt>
                <c:pt idx="149">
                  <c:v>1225</c:v>
                </c:pt>
                <c:pt idx="150">
                  <c:v>1230</c:v>
                </c:pt>
                <c:pt idx="151">
                  <c:v>1235</c:v>
                </c:pt>
                <c:pt idx="152">
                  <c:v>1240</c:v>
                </c:pt>
                <c:pt idx="153">
                  <c:v>1245</c:v>
                </c:pt>
                <c:pt idx="154">
                  <c:v>1250</c:v>
                </c:pt>
                <c:pt idx="155">
                  <c:v>1255</c:v>
                </c:pt>
                <c:pt idx="156">
                  <c:v>1300</c:v>
                </c:pt>
                <c:pt idx="157">
                  <c:v>1305</c:v>
                </c:pt>
                <c:pt idx="158">
                  <c:v>1310</c:v>
                </c:pt>
                <c:pt idx="159">
                  <c:v>1315</c:v>
                </c:pt>
                <c:pt idx="160">
                  <c:v>1320</c:v>
                </c:pt>
                <c:pt idx="161">
                  <c:v>1325</c:v>
                </c:pt>
                <c:pt idx="162">
                  <c:v>1330</c:v>
                </c:pt>
                <c:pt idx="163">
                  <c:v>1335</c:v>
                </c:pt>
                <c:pt idx="164">
                  <c:v>1340</c:v>
                </c:pt>
                <c:pt idx="165">
                  <c:v>1345</c:v>
                </c:pt>
                <c:pt idx="166">
                  <c:v>1350</c:v>
                </c:pt>
                <c:pt idx="167">
                  <c:v>1355</c:v>
                </c:pt>
                <c:pt idx="168">
                  <c:v>1400</c:v>
                </c:pt>
                <c:pt idx="169">
                  <c:v>1405</c:v>
                </c:pt>
                <c:pt idx="170">
                  <c:v>1410</c:v>
                </c:pt>
                <c:pt idx="171">
                  <c:v>1415</c:v>
                </c:pt>
                <c:pt idx="172">
                  <c:v>1420</c:v>
                </c:pt>
                <c:pt idx="173">
                  <c:v>1425</c:v>
                </c:pt>
                <c:pt idx="174">
                  <c:v>1430</c:v>
                </c:pt>
                <c:pt idx="175">
                  <c:v>1435</c:v>
                </c:pt>
                <c:pt idx="176">
                  <c:v>1440</c:v>
                </c:pt>
                <c:pt idx="177">
                  <c:v>1445</c:v>
                </c:pt>
                <c:pt idx="178">
                  <c:v>1450</c:v>
                </c:pt>
                <c:pt idx="179">
                  <c:v>1455</c:v>
                </c:pt>
                <c:pt idx="180">
                  <c:v>1500</c:v>
                </c:pt>
                <c:pt idx="181">
                  <c:v>1505</c:v>
                </c:pt>
                <c:pt idx="182">
                  <c:v>1510</c:v>
                </c:pt>
                <c:pt idx="183">
                  <c:v>1515</c:v>
                </c:pt>
                <c:pt idx="184">
                  <c:v>1520</c:v>
                </c:pt>
                <c:pt idx="185">
                  <c:v>1525</c:v>
                </c:pt>
                <c:pt idx="186">
                  <c:v>1530</c:v>
                </c:pt>
                <c:pt idx="187">
                  <c:v>1535</c:v>
                </c:pt>
                <c:pt idx="188">
                  <c:v>1540</c:v>
                </c:pt>
                <c:pt idx="189">
                  <c:v>1545</c:v>
                </c:pt>
                <c:pt idx="190">
                  <c:v>1550</c:v>
                </c:pt>
                <c:pt idx="191">
                  <c:v>1555</c:v>
                </c:pt>
                <c:pt idx="192">
                  <c:v>1600</c:v>
                </c:pt>
                <c:pt idx="193">
                  <c:v>1605</c:v>
                </c:pt>
                <c:pt idx="194">
                  <c:v>1610</c:v>
                </c:pt>
                <c:pt idx="195">
                  <c:v>1615</c:v>
                </c:pt>
                <c:pt idx="196">
                  <c:v>1620</c:v>
                </c:pt>
                <c:pt idx="197">
                  <c:v>1625</c:v>
                </c:pt>
                <c:pt idx="198">
                  <c:v>1630</c:v>
                </c:pt>
                <c:pt idx="199">
                  <c:v>1635</c:v>
                </c:pt>
                <c:pt idx="200">
                  <c:v>1640</c:v>
                </c:pt>
                <c:pt idx="201">
                  <c:v>1645</c:v>
                </c:pt>
                <c:pt idx="202">
                  <c:v>1650</c:v>
                </c:pt>
                <c:pt idx="203">
                  <c:v>1655</c:v>
                </c:pt>
                <c:pt idx="204">
                  <c:v>1700</c:v>
                </c:pt>
                <c:pt idx="205">
                  <c:v>1705</c:v>
                </c:pt>
                <c:pt idx="206">
                  <c:v>1710</c:v>
                </c:pt>
                <c:pt idx="207">
                  <c:v>1715</c:v>
                </c:pt>
                <c:pt idx="208">
                  <c:v>1720</c:v>
                </c:pt>
                <c:pt idx="209">
                  <c:v>1725</c:v>
                </c:pt>
                <c:pt idx="210">
                  <c:v>1730</c:v>
                </c:pt>
                <c:pt idx="211">
                  <c:v>1735</c:v>
                </c:pt>
                <c:pt idx="212">
                  <c:v>1740</c:v>
                </c:pt>
                <c:pt idx="213">
                  <c:v>1745</c:v>
                </c:pt>
                <c:pt idx="214">
                  <c:v>1750</c:v>
                </c:pt>
                <c:pt idx="215">
                  <c:v>1755</c:v>
                </c:pt>
                <c:pt idx="216">
                  <c:v>1800</c:v>
                </c:pt>
                <c:pt idx="217">
                  <c:v>1805</c:v>
                </c:pt>
                <c:pt idx="218">
                  <c:v>1810</c:v>
                </c:pt>
                <c:pt idx="219">
                  <c:v>1815</c:v>
                </c:pt>
                <c:pt idx="220">
                  <c:v>1820</c:v>
                </c:pt>
                <c:pt idx="221">
                  <c:v>1825</c:v>
                </c:pt>
                <c:pt idx="222">
                  <c:v>1830</c:v>
                </c:pt>
                <c:pt idx="223">
                  <c:v>1835</c:v>
                </c:pt>
                <c:pt idx="224">
                  <c:v>1840</c:v>
                </c:pt>
                <c:pt idx="225">
                  <c:v>1845</c:v>
                </c:pt>
                <c:pt idx="226">
                  <c:v>1850</c:v>
                </c:pt>
                <c:pt idx="227">
                  <c:v>1855</c:v>
                </c:pt>
                <c:pt idx="228">
                  <c:v>1900</c:v>
                </c:pt>
                <c:pt idx="229">
                  <c:v>1905</c:v>
                </c:pt>
                <c:pt idx="230">
                  <c:v>1910</c:v>
                </c:pt>
                <c:pt idx="231">
                  <c:v>1915</c:v>
                </c:pt>
                <c:pt idx="232">
                  <c:v>1920</c:v>
                </c:pt>
                <c:pt idx="233">
                  <c:v>1925</c:v>
                </c:pt>
                <c:pt idx="234">
                  <c:v>1930</c:v>
                </c:pt>
                <c:pt idx="235">
                  <c:v>1935</c:v>
                </c:pt>
                <c:pt idx="236">
                  <c:v>1940</c:v>
                </c:pt>
                <c:pt idx="237">
                  <c:v>1945</c:v>
                </c:pt>
                <c:pt idx="238">
                  <c:v>1950</c:v>
                </c:pt>
                <c:pt idx="239">
                  <c:v>1955</c:v>
                </c:pt>
                <c:pt idx="240">
                  <c:v>2000</c:v>
                </c:pt>
                <c:pt idx="241">
                  <c:v>2005</c:v>
                </c:pt>
                <c:pt idx="242">
                  <c:v>2010</c:v>
                </c:pt>
                <c:pt idx="243">
                  <c:v>2015</c:v>
                </c:pt>
                <c:pt idx="244">
                  <c:v>2020</c:v>
                </c:pt>
                <c:pt idx="245">
                  <c:v>2025</c:v>
                </c:pt>
                <c:pt idx="246">
                  <c:v>2030</c:v>
                </c:pt>
                <c:pt idx="247">
                  <c:v>2035</c:v>
                </c:pt>
                <c:pt idx="248">
                  <c:v>2040</c:v>
                </c:pt>
                <c:pt idx="249">
                  <c:v>2045</c:v>
                </c:pt>
                <c:pt idx="250">
                  <c:v>2050</c:v>
                </c:pt>
                <c:pt idx="251">
                  <c:v>2055</c:v>
                </c:pt>
                <c:pt idx="252">
                  <c:v>2100</c:v>
                </c:pt>
                <c:pt idx="253">
                  <c:v>2105</c:v>
                </c:pt>
                <c:pt idx="254">
                  <c:v>2110</c:v>
                </c:pt>
                <c:pt idx="255">
                  <c:v>2115</c:v>
                </c:pt>
                <c:pt idx="256">
                  <c:v>2120</c:v>
                </c:pt>
                <c:pt idx="257">
                  <c:v>2125</c:v>
                </c:pt>
                <c:pt idx="258">
                  <c:v>2130</c:v>
                </c:pt>
                <c:pt idx="259">
                  <c:v>2135</c:v>
                </c:pt>
                <c:pt idx="260">
                  <c:v>2140</c:v>
                </c:pt>
                <c:pt idx="261">
                  <c:v>2145</c:v>
                </c:pt>
                <c:pt idx="262">
                  <c:v>2150</c:v>
                </c:pt>
                <c:pt idx="263">
                  <c:v>2155</c:v>
                </c:pt>
                <c:pt idx="264">
                  <c:v>2200</c:v>
                </c:pt>
                <c:pt idx="265">
                  <c:v>2205</c:v>
                </c:pt>
                <c:pt idx="266">
                  <c:v>2210</c:v>
                </c:pt>
                <c:pt idx="267">
                  <c:v>2215</c:v>
                </c:pt>
                <c:pt idx="268">
                  <c:v>2220</c:v>
                </c:pt>
                <c:pt idx="269">
                  <c:v>2225</c:v>
                </c:pt>
                <c:pt idx="270">
                  <c:v>2230</c:v>
                </c:pt>
                <c:pt idx="271">
                  <c:v>2235</c:v>
                </c:pt>
                <c:pt idx="272">
                  <c:v>2240</c:v>
                </c:pt>
                <c:pt idx="273">
                  <c:v>2245</c:v>
                </c:pt>
                <c:pt idx="274">
                  <c:v>2250</c:v>
                </c:pt>
                <c:pt idx="275">
                  <c:v>2255</c:v>
                </c:pt>
                <c:pt idx="276">
                  <c:v>2300</c:v>
                </c:pt>
                <c:pt idx="277">
                  <c:v>2305</c:v>
                </c:pt>
                <c:pt idx="278">
                  <c:v>2310</c:v>
                </c:pt>
                <c:pt idx="279">
                  <c:v>2315</c:v>
                </c:pt>
                <c:pt idx="280">
                  <c:v>2320</c:v>
                </c:pt>
                <c:pt idx="281">
                  <c:v>2325</c:v>
                </c:pt>
                <c:pt idx="282">
                  <c:v>2330</c:v>
                </c:pt>
                <c:pt idx="283">
                  <c:v>2335</c:v>
                </c:pt>
                <c:pt idx="284">
                  <c:v>2340</c:v>
                </c:pt>
                <c:pt idx="285">
                  <c:v>2345</c:v>
                </c:pt>
                <c:pt idx="286">
                  <c:v>2350</c:v>
                </c:pt>
                <c:pt idx="287">
                  <c:v>2355</c:v>
                </c:pt>
              </c:strCache>
            </c:strRef>
          </c:cat>
          <c:val>
            <c:numRef>
              <c:f>Staffing!$B$27:$KC$27</c:f>
              <c:numCache>
                <c:formatCode>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913600"/>
        <c:axId val="55941312"/>
      </c:lineChart>
      <c:catAx>
        <c:axId val="1499136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5941312"/>
        <c:crosses val="autoZero"/>
        <c:auto val="1"/>
        <c:lblAlgn val="ctr"/>
        <c:lblOffset val="100"/>
        <c:noMultiLvlLbl val="0"/>
      </c:catAx>
      <c:valAx>
        <c:axId val="559413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991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9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1</xdr:row>
      <xdr:rowOff>76200</xdr:rowOff>
    </xdr:from>
    <xdr:to>
      <xdr:col>9</xdr:col>
      <xdr:colOff>428858</xdr:colOff>
      <xdr:row>3</xdr:row>
      <xdr:rowOff>85790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0" y="266700"/>
          <a:ext cx="1667108" cy="466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9</xdr:row>
          <xdr:rowOff>142875</xdr:rowOff>
        </xdr:from>
        <xdr:to>
          <xdr:col>13</xdr:col>
          <xdr:colOff>28575</xdr:colOff>
          <xdr:row>11</xdr:row>
          <xdr:rowOff>47625</xdr:rowOff>
        </xdr:to>
        <xdr:sp macro="" textlink="">
          <xdr:nvSpPr>
            <xdr:cNvPr id="3075" name="btnReportEmpDatedSummary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6</xdr:row>
          <xdr:rowOff>38100</xdr:rowOff>
        </xdr:from>
        <xdr:to>
          <xdr:col>14</xdr:col>
          <xdr:colOff>171450</xdr:colOff>
          <xdr:row>7</xdr:row>
          <xdr:rowOff>142875</xdr:rowOff>
        </xdr:to>
        <xdr:sp macro="" textlink="">
          <xdr:nvSpPr>
            <xdr:cNvPr id="3076" name="btnTimeDispersio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9</xdr:row>
          <xdr:rowOff>142875</xdr:rowOff>
        </xdr:from>
        <xdr:to>
          <xdr:col>14</xdr:col>
          <xdr:colOff>161925</xdr:colOff>
          <xdr:row>11</xdr:row>
          <xdr:rowOff>47625</xdr:rowOff>
        </xdr:to>
        <xdr:sp macro="" textlink="">
          <xdr:nvSpPr>
            <xdr:cNvPr id="3077" name="btnEmployeeFullHx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0</xdr:row>
          <xdr:rowOff>152400</xdr:rowOff>
        </xdr:from>
        <xdr:to>
          <xdr:col>9</xdr:col>
          <xdr:colOff>714375</xdr:colOff>
          <xdr:row>2</xdr:row>
          <xdr:rowOff>57150</xdr:rowOff>
        </xdr:to>
        <xdr:sp macro="" textlink="">
          <xdr:nvSpPr>
            <xdr:cNvPr id="3079" name="btnFindCreateScheduleByDat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152400</xdr:rowOff>
        </xdr:from>
        <xdr:to>
          <xdr:col>10</xdr:col>
          <xdr:colOff>1095375</xdr:colOff>
          <xdr:row>2</xdr:row>
          <xdr:rowOff>57150</xdr:rowOff>
        </xdr:to>
        <xdr:sp macro="" textlink="">
          <xdr:nvSpPr>
            <xdr:cNvPr id="3080" name="btnCreateEditToday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1304925</xdr:colOff>
          <xdr:row>0</xdr:row>
          <xdr:rowOff>152400</xdr:rowOff>
        </xdr:from>
        <xdr:to>
          <xdr:col>11</xdr:col>
          <xdr:colOff>504825</xdr:colOff>
          <xdr:row>2</xdr:row>
          <xdr:rowOff>57150</xdr:rowOff>
        </xdr:to>
        <xdr:sp macro="" textlink="">
          <xdr:nvSpPr>
            <xdr:cNvPr id="3081" name="btnCreateEditTomorrow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152400</xdr:rowOff>
        </xdr:from>
        <xdr:to>
          <xdr:col>13</xdr:col>
          <xdr:colOff>409575</xdr:colOff>
          <xdr:row>2</xdr:row>
          <xdr:rowOff>57150</xdr:rowOff>
        </xdr:to>
        <xdr:sp macro="" textlink="">
          <xdr:nvSpPr>
            <xdr:cNvPr id="3082" name="btnAtAGlance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152400</xdr:rowOff>
        </xdr:from>
        <xdr:to>
          <xdr:col>1</xdr:col>
          <xdr:colOff>295275</xdr:colOff>
          <xdr:row>2</xdr:row>
          <xdr:rowOff>57150</xdr:rowOff>
        </xdr:to>
        <xdr:sp macro="" textlink="">
          <xdr:nvSpPr>
            <xdr:cNvPr id="3083" name="btnDashboardRefresh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152400</xdr:rowOff>
        </xdr:from>
        <xdr:to>
          <xdr:col>15</xdr:col>
          <xdr:colOff>314325</xdr:colOff>
          <xdr:row>2</xdr:row>
          <xdr:rowOff>57150</xdr:rowOff>
        </xdr:to>
        <xdr:sp macro="" textlink="">
          <xdr:nvSpPr>
            <xdr:cNvPr id="3084" name="btnScheduleAudi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152400</xdr:rowOff>
        </xdr:from>
        <xdr:to>
          <xdr:col>0</xdr:col>
          <xdr:colOff>1266825</xdr:colOff>
          <xdr:row>2</xdr:row>
          <xdr:rowOff>57150</xdr:rowOff>
        </xdr:to>
        <xdr:sp macro="" textlink="">
          <xdr:nvSpPr>
            <xdr:cNvPr id="16385" name="btnRefreshAtAGlance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152400</xdr:rowOff>
        </xdr:from>
        <xdr:to>
          <xdr:col>10</xdr:col>
          <xdr:colOff>314325</xdr:colOff>
          <xdr:row>2</xdr:row>
          <xdr:rowOff>76200</xdr:rowOff>
        </xdr:to>
        <xdr:sp macro="" textlink="">
          <xdr:nvSpPr>
            <xdr:cNvPr id="10245" name="btnCreateSheetClear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</xdr:row>
          <xdr:rowOff>161925</xdr:rowOff>
        </xdr:from>
        <xdr:to>
          <xdr:col>3</xdr:col>
          <xdr:colOff>66675</xdr:colOff>
          <xdr:row>4</xdr:row>
          <xdr:rowOff>76200</xdr:rowOff>
        </xdr:to>
        <xdr:sp macro="" textlink="">
          <xdr:nvSpPr>
            <xdr:cNvPr id="10246" name="btnCreateSave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</xdr:row>
          <xdr:rowOff>161925</xdr:rowOff>
        </xdr:from>
        <xdr:to>
          <xdr:col>4</xdr:col>
          <xdr:colOff>28575</xdr:colOff>
          <xdr:row>4</xdr:row>
          <xdr:rowOff>76200</xdr:rowOff>
        </xdr:to>
        <xdr:sp macro="" textlink="">
          <xdr:nvSpPr>
            <xdr:cNvPr id="10247" name="btnCreateAssess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152400</xdr:rowOff>
        </xdr:from>
        <xdr:to>
          <xdr:col>7</xdr:col>
          <xdr:colOff>400050</xdr:colOff>
          <xdr:row>2</xdr:row>
          <xdr:rowOff>76200</xdr:rowOff>
        </xdr:to>
        <xdr:sp macro="" textlink="">
          <xdr:nvSpPr>
            <xdr:cNvPr id="10248" name="btnCreatePrin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0</xdr:row>
          <xdr:rowOff>152400</xdr:rowOff>
        </xdr:from>
        <xdr:to>
          <xdr:col>16</xdr:col>
          <xdr:colOff>0</xdr:colOff>
          <xdr:row>2</xdr:row>
          <xdr:rowOff>76200</xdr:rowOff>
        </xdr:to>
        <xdr:sp macro="" textlink="">
          <xdr:nvSpPr>
            <xdr:cNvPr id="10251" name="btnAssignBreaks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400050</xdr:colOff>
          <xdr:row>0</xdr:row>
          <xdr:rowOff>152400</xdr:rowOff>
        </xdr:from>
        <xdr:to>
          <xdr:col>18</xdr:col>
          <xdr:colOff>514350</xdr:colOff>
          <xdr:row>2</xdr:row>
          <xdr:rowOff>76200</xdr:rowOff>
        </xdr:to>
        <xdr:sp macro="" textlink="">
          <xdr:nvSpPr>
            <xdr:cNvPr id="10252" name="btnCreateSheetClearBreaks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21</xdr:col>
      <xdr:colOff>104775</xdr:colOff>
      <xdr:row>48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48</xdr:row>
          <xdr:rowOff>180975</xdr:rowOff>
        </xdr:from>
        <xdr:to>
          <xdr:col>10</xdr:col>
          <xdr:colOff>1000125</xdr:colOff>
          <xdr:row>50</xdr:row>
          <xdr:rowOff>104775</xdr:rowOff>
        </xdr:to>
        <xdr:sp macro="" textlink="">
          <xdr:nvSpPr>
            <xdr:cNvPr id="10255" name="btnCreateAssessPlotBtn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2028825</xdr:colOff>
      <xdr:row>31</xdr:row>
      <xdr:rowOff>57150</xdr:rowOff>
    </xdr:from>
    <xdr:to>
      <xdr:col>26</xdr:col>
      <xdr:colOff>219075</xdr:colOff>
      <xdr:row>45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</xdr:row>
          <xdr:rowOff>133350</xdr:rowOff>
        </xdr:from>
        <xdr:to>
          <xdr:col>19</xdr:col>
          <xdr:colOff>361950</xdr:colOff>
          <xdr:row>5</xdr:row>
          <xdr:rowOff>0</xdr:rowOff>
        </xdr:to>
        <xdr:sp macro="" textlink="">
          <xdr:nvSpPr>
            <xdr:cNvPr id="1025" name="btnEmployee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333375</xdr:colOff>
          <xdr:row>8</xdr:row>
          <xdr:rowOff>152400</xdr:rowOff>
        </xdr:from>
        <xdr:to>
          <xdr:col>21</xdr:col>
          <xdr:colOff>409575</xdr:colOff>
          <xdr:row>10</xdr:row>
          <xdr:rowOff>19050</xdr:rowOff>
        </xdr:to>
        <xdr:sp macro="" textlink="">
          <xdr:nvSpPr>
            <xdr:cNvPr id="1026" name="btnEmployeeEdi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152400</xdr:rowOff>
        </xdr:from>
        <xdr:to>
          <xdr:col>5</xdr:col>
          <xdr:colOff>200025</xdr:colOff>
          <xdr:row>2</xdr:row>
          <xdr:rowOff>28575</xdr:rowOff>
        </xdr:to>
        <xdr:sp macro="" textlink="">
          <xdr:nvSpPr>
            <xdr:cNvPr id="1027" name="btnRefreshEmploye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333375</xdr:colOff>
          <xdr:row>3</xdr:row>
          <xdr:rowOff>133350</xdr:rowOff>
        </xdr:from>
        <xdr:to>
          <xdr:col>21</xdr:col>
          <xdr:colOff>409575</xdr:colOff>
          <xdr:row>5</xdr:row>
          <xdr:rowOff>0</xdr:rowOff>
        </xdr:to>
        <xdr:sp macro="" textlink="">
          <xdr:nvSpPr>
            <xdr:cNvPr id="1028" name="btnEmployeeH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123825</xdr:rowOff>
        </xdr:from>
        <xdr:to>
          <xdr:col>4</xdr:col>
          <xdr:colOff>104775</xdr:colOff>
          <xdr:row>42</xdr:row>
          <xdr:rowOff>38100</xdr:rowOff>
        </xdr:to>
        <xdr:sp macro="" textlink="">
          <xdr:nvSpPr>
            <xdr:cNvPr id="25601" name="btnLoadBrkTemplate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40</xdr:row>
          <xdr:rowOff>123825</xdr:rowOff>
        </xdr:from>
        <xdr:to>
          <xdr:col>7</xdr:col>
          <xdr:colOff>581025</xdr:colOff>
          <xdr:row>42</xdr:row>
          <xdr:rowOff>38100</xdr:rowOff>
        </xdr:to>
        <xdr:sp macro="" textlink="">
          <xdr:nvSpPr>
            <xdr:cNvPr id="25602" name="bnLoadBrkTemplate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40</xdr:row>
          <xdr:rowOff>123825</xdr:rowOff>
        </xdr:from>
        <xdr:to>
          <xdr:col>11</xdr:col>
          <xdr:colOff>238125</xdr:colOff>
          <xdr:row>42</xdr:row>
          <xdr:rowOff>38100</xdr:rowOff>
        </xdr:to>
        <xdr:sp macro="" textlink="">
          <xdr:nvSpPr>
            <xdr:cNvPr id="25603" name="bnLoadBrkTemplateCustom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18</xdr:row>
          <xdr:rowOff>85725</xdr:rowOff>
        </xdr:from>
        <xdr:to>
          <xdr:col>19</xdr:col>
          <xdr:colOff>561975</xdr:colOff>
          <xdr:row>20</xdr:row>
          <xdr:rowOff>0</xdr:rowOff>
        </xdr:to>
        <xdr:sp macro="" textlink="">
          <xdr:nvSpPr>
            <xdr:cNvPr id="25604" name="btnSaveCustomBrkTemplate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40</xdr:row>
          <xdr:rowOff>123825</xdr:rowOff>
        </xdr:from>
        <xdr:to>
          <xdr:col>14</xdr:col>
          <xdr:colOff>609600</xdr:colOff>
          <xdr:row>42</xdr:row>
          <xdr:rowOff>38100</xdr:rowOff>
        </xdr:to>
        <xdr:sp macro="" textlink="">
          <xdr:nvSpPr>
            <xdr:cNvPr id="25605" name="btnBrkTemplateNone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47625</xdr:rowOff>
        </xdr:from>
        <xdr:to>
          <xdr:col>4</xdr:col>
          <xdr:colOff>190500</xdr:colOff>
          <xdr:row>6</xdr:row>
          <xdr:rowOff>104775</xdr:rowOff>
        </xdr:to>
        <xdr:sp macro="" textlink="">
          <xdr:nvSpPr>
            <xdr:cNvPr id="22529" name="OptionDateFormatUSA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161925</xdr:rowOff>
        </xdr:from>
        <xdr:to>
          <xdr:col>4</xdr:col>
          <xdr:colOff>190500</xdr:colOff>
          <xdr:row>8</xdr:row>
          <xdr:rowOff>28575</xdr:rowOff>
        </xdr:to>
        <xdr:sp macro="" textlink="">
          <xdr:nvSpPr>
            <xdr:cNvPr id="22530" name="OptionDateFormatNotUSA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10</xdr:row>
          <xdr:rowOff>171450</xdr:rowOff>
        </xdr:from>
        <xdr:to>
          <xdr:col>4</xdr:col>
          <xdr:colOff>95250</xdr:colOff>
          <xdr:row>12</xdr:row>
          <xdr:rowOff>57150</xdr:rowOff>
        </xdr:to>
        <xdr:sp macro="" textlink="">
          <xdr:nvSpPr>
            <xdr:cNvPr id="22531" name="btnShowScheduleHx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13</xdr:row>
          <xdr:rowOff>0</xdr:rowOff>
        </xdr:from>
        <xdr:to>
          <xdr:col>4</xdr:col>
          <xdr:colOff>95250</xdr:colOff>
          <xdr:row>14</xdr:row>
          <xdr:rowOff>76200</xdr:rowOff>
        </xdr:to>
        <xdr:sp macro="" textlink="">
          <xdr:nvSpPr>
            <xdr:cNvPr id="22532" name="btnShowConfigureBreaks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47625</xdr:rowOff>
        </xdr:from>
        <xdr:to>
          <xdr:col>0</xdr:col>
          <xdr:colOff>1019175</xdr:colOff>
          <xdr:row>2</xdr:row>
          <xdr:rowOff>152400</xdr:rowOff>
        </xdr:to>
        <xdr:sp macro="" textlink="">
          <xdr:nvSpPr>
            <xdr:cNvPr id="23553" name="btnRefreshTimeDispersion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1</xdr:row>
          <xdr:rowOff>47625</xdr:rowOff>
        </xdr:from>
        <xdr:to>
          <xdr:col>0</xdr:col>
          <xdr:colOff>1924050</xdr:colOff>
          <xdr:row>2</xdr:row>
          <xdr:rowOff>152400</xdr:rowOff>
        </xdr:to>
        <xdr:sp macro="" textlink="">
          <xdr:nvSpPr>
            <xdr:cNvPr id="23555" name="btnPrintTimeDispersion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melanson1965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5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2.xml"/><Relationship Id="rId5" Type="http://schemas.openxmlformats.org/officeDocument/2006/relationships/image" Target="../media/image32.emf"/><Relationship Id="rId4" Type="http://schemas.openxmlformats.org/officeDocument/2006/relationships/control" Target="../activeX/activeX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B3:I34"/>
  <sheetViews>
    <sheetView workbookViewId="0">
      <selection activeCell="I5" sqref="I5"/>
    </sheetView>
  </sheetViews>
  <sheetFormatPr defaultRowHeight="15"/>
  <cols>
    <col min="1" max="16384" width="9.140625" style="1"/>
  </cols>
  <sheetData>
    <row r="3" spans="2:9" ht="21">
      <c r="B3" s="21" t="s">
        <v>26</v>
      </c>
    </row>
    <row r="5" spans="2:9">
      <c r="I5" s="3" t="s">
        <v>24</v>
      </c>
    </row>
    <row r="6" spans="2:9">
      <c r="I6" s="3" t="s">
        <v>25</v>
      </c>
    </row>
    <row r="9" spans="2:9">
      <c r="B9" s="11" t="s">
        <v>27</v>
      </c>
    </row>
    <row r="10" spans="2:9">
      <c r="B10" s="1" t="s">
        <v>28</v>
      </c>
    </row>
    <row r="11" spans="2:9">
      <c r="B11" s="1" t="s">
        <v>29</v>
      </c>
    </row>
    <row r="12" spans="2:9">
      <c r="B12" s="1" t="s">
        <v>30</v>
      </c>
    </row>
    <row r="13" spans="2:9">
      <c r="B13" s="1" t="s">
        <v>31</v>
      </c>
    </row>
    <row r="14" spans="2:9">
      <c r="B14" s="1" t="s">
        <v>32</v>
      </c>
    </row>
    <row r="16" spans="2:9">
      <c r="B16" s="11" t="s">
        <v>33</v>
      </c>
    </row>
    <row r="17" spans="2:3">
      <c r="B17" s="1" t="s">
        <v>34</v>
      </c>
    </row>
    <row r="18" spans="2:3">
      <c r="B18" s="1" t="s">
        <v>35</v>
      </c>
    </row>
    <row r="19" spans="2:3">
      <c r="C19" s="1" t="s">
        <v>36</v>
      </c>
    </row>
    <row r="20" spans="2:3">
      <c r="C20" s="1" t="s">
        <v>37</v>
      </c>
    </row>
    <row r="21" spans="2:3">
      <c r="C21" s="1" t="s">
        <v>38</v>
      </c>
    </row>
    <row r="23" spans="2:3">
      <c r="B23" s="11" t="s">
        <v>39</v>
      </c>
    </row>
    <row r="24" spans="2:3">
      <c r="B24" s="1" t="s">
        <v>40</v>
      </c>
    </row>
    <row r="26" spans="2:3">
      <c r="B26" s="11" t="s">
        <v>41</v>
      </c>
    </row>
    <row r="27" spans="2:3">
      <c r="B27" s="1" t="s">
        <v>42</v>
      </c>
    </row>
    <row r="28" spans="2:3">
      <c r="B28" s="1" t="s">
        <v>43</v>
      </c>
    </row>
    <row r="29" spans="2:3">
      <c r="B29" s="1" t="s">
        <v>44</v>
      </c>
    </row>
    <row r="31" spans="2:3">
      <c r="B31" s="11" t="s">
        <v>45</v>
      </c>
    </row>
    <row r="32" spans="2:3">
      <c r="B32" s="1" t="s">
        <v>46</v>
      </c>
    </row>
    <row r="33" spans="2:2">
      <c r="B33" s="22" t="s">
        <v>47</v>
      </c>
    </row>
    <row r="34" spans="2:2">
      <c r="B34" s="1" t="s">
        <v>48</v>
      </c>
    </row>
  </sheetData>
  <sheetProtection password="DD3D" sheet="1" objects="1" scenarios="1"/>
  <hyperlinks>
    <hyperlink ref="B33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O22"/>
  <sheetViews>
    <sheetView tabSelected="1" workbookViewId="0"/>
  </sheetViews>
  <sheetFormatPr defaultRowHeight="15"/>
  <cols>
    <col min="1" max="1" width="7.7109375" style="3" customWidth="1"/>
    <col min="2" max="2" width="7.140625" style="3" customWidth="1"/>
    <col min="3" max="3" width="12.7109375" style="178" customWidth="1"/>
    <col min="4" max="5" width="7.7109375" style="1" customWidth="1"/>
    <col min="6" max="7" width="8.7109375" style="1" customWidth="1"/>
    <col min="8" max="8" width="12.7109375" style="1" customWidth="1"/>
    <col min="9" max="9" width="4.5703125" style="1" customWidth="1"/>
    <col min="10" max="10" width="11.140625" style="1" customWidth="1"/>
    <col min="11" max="11" width="25.7109375" style="1" customWidth="1"/>
    <col min="12" max="16384" width="9.140625" style="1"/>
  </cols>
  <sheetData>
    <row r="1" spans="1:15" ht="15.75" thickBot="1"/>
    <row r="2" spans="1:15" ht="15.75" thickBot="1">
      <c r="C2" s="176" t="s">
        <v>127</v>
      </c>
      <c r="D2" s="317">
        <f ca="1">TODAY()</f>
        <v>44896</v>
      </c>
      <c r="E2" s="318"/>
      <c r="G2" s="24" t="s">
        <v>137</v>
      </c>
      <c r="H2" s="237"/>
    </row>
    <row r="3" spans="1:15">
      <c r="C3" s="180"/>
    </row>
    <row r="4" spans="1:15" ht="15.75" thickBot="1">
      <c r="C4" s="176" t="s">
        <v>134</v>
      </c>
    </row>
    <row r="5" spans="1:15" s="23" customFormat="1" ht="20.100000000000001" customHeight="1" thickBot="1">
      <c r="C5" s="177" t="s">
        <v>130</v>
      </c>
      <c r="D5" s="112" t="s">
        <v>129</v>
      </c>
      <c r="E5" s="112" t="s">
        <v>131</v>
      </c>
      <c r="F5" s="112" t="s">
        <v>132</v>
      </c>
      <c r="G5" s="113" t="s">
        <v>133</v>
      </c>
      <c r="I5" s="26"/>
      <c r="J5" s="27" t="s">
        <v>49</v>
      </c>
      <c r="K5" s="28"/>
      <c r="L5" s="28"/>
      <c r="M5" s="28"/>
      <c r="N5" s="28"/>
      <c r="O5" s="29"/>
    </row>
    <row r="6" spans="1:15" ht="15.75" thickBot="1">
      <c r="A6" s="246"/>
      <c r="B6" s="119" t="s">
        <v>50</v>
      </c>
      <c r="C6" s="215">
        <v>44895</v>
      </c>
      <c r="D6" s="181" t="s">
        <v>452</v>
      </c>
      <c r="E6" s="181">
        <v>0</v>
      </c>
      <c r="F6" s="182">
        <v>0</v>
      </c>
      <c r="G6" s="183">
        <v>0</v>
      </c>
      <c r="H6" s="312" t="str">
        <f>IF(G6&lt;&gt;0,IF( F6&lt;&gt;0,G6/F6,""),"")</f>
        <v/>
      </c>
      <c r="I6" s="30"/>
      <c r="J6" s="12"/>
      <c r="K6" s="12"/>
      <c r="L6" s="12"/>
      <c r="M6" s="12"/>
      <c r="N6" s="12"/>
      <c r="O6" s="31"/>
    </row>
    <row r="7" spans="1:15" ht="15.75" thickBot="1">
      <c r="A7" s="246"/>
      <c r="B7" s="119" t="s">
        <v>50</v>
      </c>
      <c r="C7" s="216">
        <v>44896</v>
      </c>
      <c r="D7" s="84" t="s">
        <v>453</v>
      </c>
      <c r="E7" s="84">
        <v>0</v>
      </c>
      <c r="F7" s="184">
        <v>0</v>
      </c>
      <c r="G7" s="185">
        <v>0</v>
      </c>
      <c r="H7" s="312" t="str">
        <f t="shared" ref="H7:H15" si="0">IF(G7&lt;&gt;0,IF( F7&lt;&gt;0,G7/F7,""),"")</f>
        <v/>
      </c>
      <c r="I7" s="30"/>
      <c r="J7" s="13" t="s">
        <v>52</v>
      </c>
      <c r="K7" s="314"/>
      <c r="L7" s="12"/>
      <c r="M7" s="12"/>
      <c r="N7" s="12"/>
      <c r="O7" s="31"/>
    </row>
    <row r="8" spans="1:15" ht="15.75" thickBot="1">
      <c r="A8" s="246"/>
      <c r="B8" s="119" t="s">
        <v>50</v>
      </c>
      <c r="C8" s="216">
        <v>44897</v>
      </c>
      <c r="D8" s="84" t="s">
        <v>454</v>
      </c>
      <c r="E8" s="84">
        <v>0</v>
      </c>
      <c r="F8" s="184">
        <v>0</v>
      </c>
      <c r="G8" s="185">
        <v>0</v>
      </c>
      <c r="H8" s="312" t="str">
        <f t="shared" si="0"/>
        <v/>
      </c>
      <c r="I8" s="30"/>
      <c r="J8" s="13" t="s">
        <v>51</v>
      </c>
      <c r="K8" s="314"/>
      <c r="L8" s="12"/>
      <c r="M8" s="12"/>
      <c r="N8" s="12"/>
      <c r="O8" s="31"/>
    </row>
    <row r="9" spans="1:15">
      <c r="A9" s="246"/>
      <c r="B9" s="119" t="s">
        <v>50</v>
      </c>
      <c r="C9" s="216">
        <v>44898</v>
      </c>
      <c r="D9" s="84" t="s">
        <v>448</v>
      </c>
      <c r="E9" s="84">
        <v>0</v>
      </c>
      <c r="F9" s="184">
        <v>0</v>
      </c>
      <c r="G9" s="185">
        <v>0</v>
      </c>
      <c r="H9" s="312" t="str">
        <f t="shared" si="0"/>
        <v/>
      </c>
      <c r="I9" s="30"/>
      <c r="J9" s="13"/>
      <c r="K9" s="25" t="s">
        <v>54</v>
      </c>
      <c r="L9" s="12"/>
      <c r="M9" s="12"/>
      <c r="N9" s="12"/>
      <c r="O9" s="31"/>
    </row>
    <row r="10" spans="1:15" ht="15.75" thickBot="1">
      <c r="A10" s="246"/>
      <c r="B10" s="119" t="s">
        <v>50</v>
      </c>
      <c r="C10" s="216">
        <v>44899</v>
      </c>
      <c r="D10" s="84" t="s">
        <v>449</v>
      </c>
      <c r="E10" s="84">
        <v>0</v>
      </c>
      <c r="F10" s="184">
        <v>0</v>
      </c>
      <c r="G10" s="185">
        <v>0</v>
      </c>
      <c r="H10" s="312" t="str">
        <f t="shared" si="0"/>
        <v/>
      </c>
      <c r="I10" s="30"/>
      <c r="J10" s="12"/>
      <c r="K10" s="12"/>
      <c r="L10" s="12"/>
      <c r="M10" s="12"/>
      <c r="N10" s="12"/>
      <c r="O10" s="31"/>
    </row>
    <row r="11" spans="1:15" ht="15.75" thickBot="1">
      <c r="A11" s="246"/>
      <c r="B11" s="119" t="s">
        <v>50</v>
      </c>
      <c r="C11" s="216">
        <v>44900</v>
      </c>
      <c r="D11" s="84" t="s">
        <v>450</v>
      </c>
      <c r="E11" s="84">
        <v>0</v>
      </c>
      <c r="F11" s="184">
        <v>0</v>
      </c>
      <c r="G11" s="185">
        <v>0</v>
      </c>
      <c r="H11" s="312" t="str">
        <f t="shared" si="0"/>
        <v/>
      </c>
      <c r="I11" s="30"/>
      <c r="J11" s="13" t="s">
        <v>53</v>
      </c>
      <c r="K11" s="205"/>
      <c r="L11" s="12"/>
      <c r="M11" s="12"/>
      <c r="N11" s="12"/>
      <c r="O11" s="31"/>
    </row>
    <row r="12" spans="1:15">
      <c r="A12" s="246"/>
      <c r="B12" s="119" t="s">
        <v>50</v>
      </c>
      <c r="C12" s="216">
        <v>44901</v>
      </c>
      <c r="D12" s="84" t="s">
        <v>451</v>
      </c>
      <c r="E12" s="84">
        <v>0</v>
      </c>
      <c r="F12" s="184">
        <v>0</v>
      </c>
      <c r="G12" s="185">
        <v>0</v>
      </c>
      <c r="H12" s="312" t="str">
        <f t="shared" si="0"/>
        <v/>
      </c>
      <c r="I12" s="30"/>
      <c r="J12" s="12"/>
      <c r="K12" s="12"/>
      <c r="L12" s="12"/>
      <c r="M12" s="12"/>
      <c r="N12" s="12"/>
      <c r="O12" s="31"/>
    </row>
    <row r="13" spans="1:15" ht="15.75" thickBot="1">
      <c r="A13" s="246"/>
      <c r="B13" s="119" t="s">
        <v>50</v>
      </c>
      <c r="C13" s="216">
        <v>44902</v>
      </c>
      <c r="D13" s="84" t="s">
        <v>452</v>
      </c>
      <c r="E13" s="84">
        <v>0</v>
      </c>
      <c r="F13" s="184">
        <v>0</v>
      </c>
      <c r="G13" s="185">
        <v>0</v>
      </c>
      <c r="H13" s="312" t="str">
        <f t="shared" si="0"/>
        <v/>
      </c>
      <c r="I13" s="32"/>
      <c r="J13" s="33"/>
      <c r="K13" s="33"/>
      <c r="L13" s="33"/>
      <c r="M13" s="33"/>
      <c r="N13" s="33"/>
      <c r="O13" s="34"/>
    </row>
    <row r="14" spans="1:15">
      <c r="A14" s="246"/>
      <c r="B14" s="119" t="s">
        <v>50</v>
      </c>
      <c r="C14" s="216">
        <v>44903</v>
      </c>
      <c r="D14" s="84" t="s">
        <v>453</v>
      </c>
      <c r="E14" s="84">
        <v>0</v>
      </c>
      <c r="F14" s="184">
        <v>0</v>
      </c>
      <c r="G14" s="185">
        <v>0</v>
      </c>
      <c r="H14" s="312" t="str">
        <f t="shared" si="0"/>
        <v/>
      </c>
    </row>
    <row r="15" spans="1:15" ht="15.75" thickBot="1">
      <c r="A15" s="246"/>
      <c r="B15" s="119" t="s">
        <v>50</v>
      </c>
      <c r="C15" s="217">
        <v>44904</v>
      </c>
      <c r="D15" s="186" t="s">
        <v>454</v>
      </c>
      <c r="E15" s="186">
        <v>0</v>
      </c>
      <c r="F15" s="187">
        <v>0</v>
      </c>
      <c r="G15" s="188">
        <v>0</v>
      </c>
      <c r="H15" s="312" t="str">
        <f t="shared" si="0"/>
        <v/>
      </c>
      <c r="K15" s="20" t="s">
        <v>455</v>
      </c>
    </row>
    <row r="16" spans="1:15">
      <c r="K16" s="20" t="s">
        <v>456</v>
      </c>
    </row>
    <row r="17" spans="3:10">
      <c r="C17" s="179"/>
      <c r="D17" s="97"/>
      <c r="E17" s="97"/>
      <c r="F17" s="97"/>
      <c r="G17" s="97"/>
    </row>
    <row r="18" spans="3:10">
      <c r="D18" s="97"/>
      <c r="E18" s="98"/>
      <c r="F18" s="97"/>
      <c r="G18" s="97"/>
    </row>
    <row r="19" spans="3:10">
      <c r="D19" s="97"/>
      <c r="E19" s="97"/>
      <c r="F19" s="97"/>
      <c r="G19" s="97"/>
      <c r="J19" s="24"/>
    </row>
    <row r="20" spans="3:10">
      <c r="D20" s="100"/>
      <c r="E20" s="311"/>
      <c r="F20" s="97"/>
      <c r="G20" s="97"/>
    </row>
    <row r="21" spans="3:10">
      <c r="D21" s="100"/>
      <c r="E21" s="311"/>
      <c r="F21" s="97"/>
      <c r="G21" s="97"/>
    </row>
    <row r="22" spans="3:10">
      <c r="D22" s="97"/>
      <c r="E22" s="97"/>
      <c r="F22" s="97"/>
      <c r="G22" s="97"/>
    </row>
  </sheetData>
  <sheetProtection password="DD3D" sheet="1" objects="1" scenarios="1"/>
  <mergeCells count="1">
    <mergeCell ref="D2:E2"/>
  </mergeCells>
  <dataValidations count="1">
    <dataValidation type="list" allowBlank="1" showInputMessage="1" showErrorMessage="1" sqref="K11">
      <formula1>EmployeeList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4" r:id="rId4" name="btnScheduleAudit">
          <controlPr defaultSize="0" autoLine="0" r:id="rId5">
            <anchor moveWithCells="1">
              <from>
                <xdr:col>14</xdr:col>
                <xdr:colOff>9525</xdr:colOff>
                <xdr:row>0</xdr:row>
                <xdr:rowOff>152400</xdr:rowOff>
              </from>
              <to>
                <xdr:col>15</xdr:col>
                <xdr:colOff>314325</xdr:colOff>
                <xdr:row>2</xdr:row>
                <xdr:rowOff>57150</xdr:rowOff>
              </to>
            </anchor>
          </controlPr>
        </control>
      </mc:Choice>
      <mc:Fallback>
        <control shapeId="3084" r:id="rId4" name="btnScheduleAudit"/>
      </mc:Fallback>
    </mc:AlternateContent>
    <mc:AlternateContent xmlns:mc="http://schemas.openxmlformats.org/markup-compatibility/2006">
      <mc:Choice Requires="x14">
        <control shapeId="3083" r:id="rId6" name="btnDashboardRefresh">
          <controlPr defaultSize="0" autoLine="0" r:id="rId7">
            <anchor moveWithCells="1">
              <from>
                <xdr:col>0</xdr:col>
                <xdr:colOff>171450</xdr:colOff>
                <xdr:row>0</xdr:row>
                <xdr:rowOff>152400</xdr:rowOff>
              </from>
              <to>
                <xdr:col>1</xdr:col>
                <xdr:colOff>295275</xdr:colOff>
                <xdr:row>2</xdr:row>
                <xdr:rowOff>57150</xdr:rowOff>
              </to>
            </anchor>
          </controlPr>
        </control>
      </mc:Choice>
      <mc:Fallback>
        <control shapeId="3083" r:id="rId6" name="btnDashboardRefresh"/>
      </mc:Fallback>
    </mc:AlternateContent>
    <mc:AlternateContent xmlns:mc="http://schemas.openxmlformats.org/markup-compatibility/2006">
      <mc:Choice Requires="x14">
        <control shapeId="3082" r:id="rId8" name="btnAtAGlance">
          <controlPr defaultSize="0" autoLine="0" r:id="rId9">
            <anchor moveWithCells="1">
              <from>
                <xdr:col>12</xdr:col>
                <xdr:colOff>104775</xdr:colOff>
                <xdr:row>0</xdr:row>
                <xdr:rowOff>152400</xdr:rowOff>
              </from>
              <to>
                <xdr:col>13</xdr:col>
                <xdr:colOff>409575</xdr:colOff>
                <xdr:row>2</xdr:row>
                <xdr:rowOff>57150</xdr:rowOff>
              </to>
            </anchor>
          </controlPr>
        </control>
      </mc:Choice>
      <mc:Fallback>
        <control shapeId="3082" r:id="rId8" name="btnAtAGlance"/>
      </mc:Fallback>
    </mc:AlternateContent>
    <mc:AlternateContent xmlns:mc="http://schemas.openxmlformats.org/markup-compatibility/2006">
      <mc:Choice Requires="x14">
        <control shapeId="3081" r:id="rId10" name="btnCreateEditTomorrow">
          <controlPr defaultSize="0" autoLine="0" r:id="rId11">
            <anchor moveWithCells="1">
              <from>
                <xdr:col>10</xdr:col>
                <xdr:colOff>1304925</xdr:colOff>
                <xdr:row>0</xdr:row>
                <xdr:rowOff>152400</xdr:rowOff>
              </from>
              <to>
                <xdr:col>11</xdr:col>
                <xdr:colOff>504825</xdr:colOff>
                <xdr:row>2</xdr:row>
                <xdr:rowOff>57150</xdr:rowOff>
              </to>
            </anchor>
          </controlPr>
        </control>
      </mc:Choice>
      <mc:Fallback>
        <control shapeId="3081" r:id="rId10" name="btnCreateEditTomorrow"/>
      </mc:Fallback>
    </mc:AlternateContent>
    <mc:AlternateContent xmlns:mc="http://schemas.openxmlformats.org/markup-compatibility/2006">
      <mc:Choice Requires="x14">
        <control shapeId="3080" r:id="rId12" name="btnCreateEditToday">
          <controlPr defaultSize="0" autoLine="0" r:id="rId13">
            <anchor moveWithCells="1">
              <from>
                <xdr:col>10</xdr:col>
                <xdr:colOff>180975</xdr:colOff>
                <xdr:row>0</xdr:row>
                <xdr:rowOff>152400</xdr:rowOff>
              </from>
              <to>
                <xdr:col>10</xdr:col>
                <xdr:colOff>1095375</xdr:colOff>
                <xdr:row>2</xdr:row>
                <xdr:rowOff>57150</xdr:rowOff>
              </to>
            </anchor>
          </controlPr>
        </control>
      </mc:Choice>
      <mc:Fallback>
        <control shapeId="3080" r:id="rId12" name="btnCreateEditToday"/>
      </mc:Fallback>
    </mc:AlternateContent>
    <mc:AlternateContent xmlns:mc="http://schemas.openxmlformats.org/markup-compatibility/2006">
      <mc:Choice Requires="x14">
        <control shapeId="3075" r:id="rId14" name="btnReportEmpDatedSummary">
          <controlPr defaultSize="0" autoLine="0" r:id="rId15">
            <anchor moveWithCells="1">
              <from>
                <xdr:col>11</xdr:col>
                <xdr:colOff>333375</xdr:colOff>
                <xdr:row>9</xdr:row>
                <xdr:rowOff>142875</xdr:rowOff>
              </from>
              <to>
                <xdr:col>13</xdr:col>
                <xdr:colOff>28575</xdr:colOff>
                <xdr:row>11</xdr:row>
                <xdr:rowOff>47625</xdr:rowOff>
              </to>
            </anchor>
          </controlPr>
        </control>
      </mc:Choice>
      <mc:Fallback>
        <control shapeId="3075" r:id="rId14" name="btnReportEmpDatedSummary"/>
      </mc:Fallback>
    </mc:AlternateContent>
    <mc:AlternateContent xmlns:mc="http://schemas.openxmlformats.org/markup-compatibility/2006">
      <mc:Choice Requires="x14">
        <control shapeId="3076" r:id="rId16" name="btnTimeDispersion">
          <controlPr defaultSize="0" autoLine="0" r:id="rId17">
            <anchor moveWithCells="1">
              <from>
                <xdr:col>11</xdr:col>
                <xdr:colOff>333375</xdr:colOff>
                <xdr:row>6</xdr:row>
                <xdr:rowOff>38100</xdr:rowOff>
              </from>
              <to>
                <xdr:col>14</xdr:col>
                <xdr:colOff>171450</xdr:colOff>
                <xdr:row>7</xdr:row>
                <xdr:rowOff>142875</xdr:rowOff>
              </to>
            </anchor>
          </controlPr>
        </control>
      </mc:Choice>
      <mc:Fallback>
        <control shapeId="3076" r:id="rId16" name="btnTimeDispersion"/>
      </mc:Fallback>
    </mc:AlternateContent>
    <mc:AlternateContent xmlns:mc="http://schemas.openxmlformats.org/markup-compatibility/2006">
      <mc:Choice Requires="x14">
        <control shapeId="3077" r:id="rId18" name="btnEmployeeFullHx">
          <controlPr defaultSize="0" autoLine="0" r:id="rId19">
            <anchor moveWithCells="1">
              <from>
                <xdr:col>13</xdr:col>
                <xdr:colOff>133350</xdr:colOff>
                <xdr:row>9</xdr:row>
                <xdr:rowOff>142875</xdr:rowOff>
              </from>
              <to>
                <xdr:col>14</xdr:col>
                <xdr:colOff>161925</xdr:colOff>
                <xdr:row>11</xdr:row>
                <xdr:rowOff>47625</xdr:rowOff>
              </to>
            </anchor>
          </controlPr>
        </control>
      </mc:Choice>
      <mc:Fallback>
        <control shapeId="3077" r:id="rId18" name="btnEmployeeFullHx"/>
      </mc:Fallback>
    </mc:AlternateContent>
    <mc:AlternateContent xmlns:mc="http://schemas.openxmlformats.org/markup-compatibility/2006">
      <mc:Choice Requires="x14">
        <control shapeId="3079" r:id="rId20" name="btnFindCreateScheduleByDate">
          <controlPr defaultSize="0" autoLine="0" r:id="rId21">
            <anchor moveWithCells="1">
              <from>
                <xdr:col>8</xdr:col>
                <xdr:colOff>104775</xdr:colOff>
                <xdr:row>0</xdr:row>
                <xdr:rowOff>152400</xdr:rowOff>
              </from>
              <to>
                <xdr:col>9</xdr:col>
                <xdr:colOff>714375</xdr:colOff>
                <xdr:row>2</xdr:row>
                <xdr:rowOff>57150</xdr:rowOff>
              </to>
            </anchor>
          </controlPr>
        </control>
      </mc:Choice>
      <mc:Fallback>
        <control shapeId="3079" r:id="rId20" name="btnFindCreateScheduleByD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Q129"/>
  <sheetViews>
    <sheetView workbookViewId="0">
      <pane ySplit="4" topLeftCell="A5" activePane="bottomLeft" state="frozen"/>
      <selection pane="bottomLeft" activeCell="E2" sqref="E2"/>
    </sheetView>
  </sheetViews>
  <sheetFormatPr defaultRowHeight="15"/>
  <cols>
    <col min="1" max="1" width="30.140625" style="190" customWidth="1"/>
    <col min="2" max="16" width="14.7109375" style="6" customWidth="1"/>
    <col min="17" max="16384" width="9.140625" style="7"/>
  </cols>
  <sheetData>
    <row r="1" spans="1:17">
      <c r="B1" s="245"/>
      <c r="C1" s="245"/>
      <c r="D1" s="245"/>
    </row>
    <row r="2" spans="1:17">
      <c r="B2" s="319" t="s">
        <v>465</v>
      </c>
      <c r="C2" s="319"/>
      <c r="D2" s="319"/>
    </row>
    <row r="3" spans="1:17" s="114" customFormat="1" ht="15.75" thickBot="1">
      <c r="A3" s="191"/>
      <c r="B3" s="40"/>
      <c r="C3" s="40"/>
      <c r="D3" s="40"/>
      <c r="E3" s="40"/>
      <c r="F3" s="194" t="s">
        <v>135</v>
      </c>
      <c r="G3" s="40"/>
      <c r="H3" s="40"/>
      <c r="I3" s="195"/>
      <c r="J3" s="40"/>
      <c r="K3" s="40"/>
      <c r="L3" s="40"/>
      <c r="M3" s="40"/>
      <c r="N3" s="40"/>
      <c r="O3" s="40"/>
      <c r="P3" s="40"/>
    </row>
    <row r="4" spans="1:17" s="115" customFormat="1" ht="17.25" customHeight="1" thickBot="1">
      <c r="A4" s="191"/>
      <c r="B4" s="218">
        <f t="shared" ref="B4:E4" si="0">C4-1</f>
        <v>44892.317812499998</v>
      </c>
      <c r="C4" s="218">
        <f t="shared" si="0"/>
        <v>44893.317812499998</v>
      </c>
      <c r="D4" s="218">
        <f t="shared" si="0"/>
        <v>44894.317812499998</v>
      </c>
      <c r="E4" s="218">
        <f t="shared" si="0"/>
        <v>44895.317812499998</v>
      </c>
      <c r="F4" s="219">
        <v>44896.317812499998</v>
      </c>
      <c r="G4" s="218">
        <f>F4+1</f>
        <v>44897.317812499998</v>
      </c>
      <c r="H4" s="218">
        <f t="shared" ref="H4:P4" si="1">G4+1</f>
        <v>44898.317812499998</v>
      </c>
      <c r="I4" s="218">
        <f t="shared" si="1"/>
        <v>44899.317812499998</v>
      </c>
      <c r="J4" s="218">
        <f t="shared" si="1"/>
        <v>44900.317812499998</v>
      </c>
      <c r="K4" s="218">
        <f t="shared" si="1"/>
        <v>44901.317812499998</v>
      </c>
      <c r="L4" s="218">
        <f t="shared" si="1"/>
        <v>44902.317812499998</v>
      </c>
      <c r="M4" s="218">
        <f t="shared" si="1"/>
        <v>44903.317812499998</v>
      </c>
      <c r="N4" s="218">
        <f t="shared" si="1"/>
        <v>44904.317812499998</v>
      </c>
      <c r="O4" s="218">
        <f t="shared" si="1"/>
        <v>44905.317812499998</v>
      </c>
      <c r="P4" s="218">
        <f t="shared" si="1"/>
        <v>44906.317812499998</v>
      </c>
      <c r="Q4" s="202"/>
    </row>
    <row r="5" spans="1:17">
      <c r="A5" s="116"/>
      <c r="B5" s="196"/>
      <c r="C5" s="196"/>
      <c r="D5" s="196"/>
      <c r="E5" s="196"/>
      <c r="F5" s="197"/>
      <c r="G5" s="196"/>
      <c r="H5" s="196"/>
      <c r="I5" s="196"/>
      <c r="J5" s="196"/>
      <c r="K5" s="196"/>
      <c r="L5" s="196"/>
      <c r="M5" s="196"/>
      <c r="N5" s="196"/>
      <c r="O5" s="196"/>
      <c r="P5" s="198"/>
    </row>
    <row r="6" spans="1:17">
      <c r="A6" s="192"/>
      <c r="B6" s="84"/>
      <c r="C6" s="84"/>
      <c r="D6" s="84"/>
      <c r="E6" s="84"/>
      <c r="F6" s="42"/>
      <c r="G6" s="84"/>
      <c r="H6" s="84"/>
      <c r="I6" s="84"/>
      <c r="J6" s="84"/>
      <c r="K6" s="84"/>
      <c r="L6" s="84"/>
      <c r="M6" s="84"/>
      <c r="N6" s="84"/>
      <c r="O6" s="84"/>
      <c r="P6" s="185"/>
    </row>
    <row r="7" spans="1:17">
      <c r="A7" s="192"/>
      <c r="B7" s="84"/>
      <c r="C7" s="84"/>
      <c r="D7" s="84"/>
      <c r="E7" s="84"/>
      <c r="F7" s="42"/>
      <c r="G7" s="84"/>
      <c r="H7" s="84"/>
      <c r="I7" s="84"/>
      <c r="J7" s="84"/>
      <c r="K7" s="84"/>
      <c r="L7" s="84"/>
      <c r="M7" s="84"/>
      <c r="N7" s="84"/>
      <c r="O7" s="84"/>
      <c r="P7" s="185"/>
    </row>
    <row r="8" spans="1:17">
      <c r="A8" s="192"/>
      <c r="B8" s="84"/>
      <c r="C8" s="84"/>
      <c r="D8" s="84"/>
      <c r="E8" s="84"/>
      <c r="F8" s="42"/>
      <c r="G8" s="84"/>
      <c r="H8" s="84"/>
      <c r="I8" s="84"/>
      <c r="J8" s="84"/>
      <c r="K8" s="84"/>
      <c r="L8" s="84"/>
      <c r="M8" s="84"/>
      <c r="N8" s="84"/>
      <c r="O8" s="84"/>
      <c r="P8" s="185"/>
    </row>
    <row r="9" spans="1:17">
      <c r="A9" s="192"/>
      <c r="B9" s="84"/>
      <c r="C9" s="84"/>
      <c r="D9" s="84"/>
      <c r="E9" s="84"/>
      <c r="F9" s="42"/>
      <c r="G9" s="84"/>
      <c r="H9" s="84"/>
      <c r="I9" s="84"/>
      <c r="J9" s="84"/>
      <c r="K9" s="84"/>
      <c r="L9" s="84"/>
      <c r="M9" s="84"/>
      <c r="N9" s="84"/>
      <c r="O9" s="84"/>
      <c r="P9" s="185"/>
    </row>
    <row r="10" spans="1:17">
      <c r="A10" s="192"/>
      <c r="B10" s="84"/>
      <c r="C10" s="84"/>
      <c r="D10" s="84"/>
      <c r="E10" s="84"/>
      <c r="F10" s="42"/>
      <c r="G10" s="84"/>
      <c r="H10" s="84"/>
      <c r="I10" s="84"/>
      <c r="J10" s="84"/>
      <c r="K10" s="84"/>
      <c r="L10" s="84"/>
      <c r="M10" s="84"/>
      <c r="N10" s="84"/>
      <c r="O10" s="84"/>
      <c r="P10" s="185"/>
    </row>
    <row r="11" spans="1:17">
      <c r="A11" s="192"/>
      <c r="B11" s="84"/>
      <c r="C11" s="84"/>
      <c r="D11" s="84"/>
      <c r="E11" s="84"/>
      <c r="F11" s="42"/>
      <c r="G11" s="84"/>
      <c r="H11" s="84"/>
      <c r="I11" s="84"/>
      <c r="J11" s="84"/>
      <c r="K11" s="84"/>
      <c r="L11" s="84"/>
      <c r="M11" s="84"/>
      <c r="N11" s="84"/>
      <c r="O11" s="84"/>
      <c r="P11" s="185"/>
    </row>
    <row r="12" spans="1:17">
      <c r="A12" s="192"/>
      <c r="B12" s="84"/>
      <c r="C12" s="84"/>
      <c r="D12" s="84"/>
      <c r="E12" s="84"/>
      <c r="F12" s="42"/>
      <c r="G12" s="84"/>
      <c r="H12" s="84"/>
      <c r="I12" s="84"/>
      <c r="J12" s="84"/>
      <c r="K12" s="84"/>
      <c r="L12" s="84"/>
      <c r="M12" s="84"/>
      <c r="N12" s="84"/>
      <c r="O12" s="84"/>
      <c r="P12" s="185"/>
    </row>
    <row r="13" spans="1:17">
      <c r="A13" s="192"/>
      <c r="B13" s="84"/>
      <c r="C13" s="84"/>
      <c r="D13" s="84"/>
      <c r="E13" s="84"/>
      <c r="F13" s="42"/>
      <c r="G13" s="84"/>
      <c r="H13" s="84"/>
      <c r="I13" s="84"/>
      <c r="J13" s="84"/>
      <c r="K13" s="84"/>
      <c r="L13" s="84"/>
      <c r="M13" s="84"/>
      <c r="N13" s="84"/>
      <c r="O13" s="84"/>
      <c r="P13" s="185"/>
    </row>
    <row r="14" spans="1:17">
      <c r="A14" s="192"/>
      <c r="B14" s="84"/>
      <c r="C14" s="84"/>
      <c r="D14" s="84"/>
      <c r="E14" s="84"/>
      <c r="F14" s="42"/>
      <c r="G14" s="84"/>
      <c r="H14" s="84"/>
      <c r="I14" s="84"/>
      <c r="J14" s="84"/>
      <c r="K14" s="84"/>
      <c r="L14" s="84"/>
      <c r="M14" s="84"/>
      <c r="N14" s="84"/>
      <c r="O14" s="84"/>
      <c r="P14" s="185"/>
    </row>
    <row r="15" spans="1:17">
      <c r="A15" s="192"/>
      <c r="B15" s="84"/>
      <c r="C15" s="84"/>
      <c r="D15" s="84"/>
      <c r="E15" s="84"/>
      <c r="F15" s="42"/>
      <c r="G15" s="84"/>
      <c r="H15" s="84"/>
      <c r="I15" s="84"/>
      <c r="J15" s="84"/>
      <c r="K15" s="84"/>
      <c r="L15" s="84"/>
      <c r="M15" s="84"/>
      <c r="N15" s="84"/>
      <c r="O15" s="84"/>
      <c r="P15" s="185"/>
    </row>
    <row r="16" spans="1:17">
      <c r="A16" s="192"/>
      <c r="B16" s="84"/>
      <c r="C16" s="84"/>
      <c r="D16" s="84"/>
      <c r="E16" s="84"/>
      <c r="F16" s="42"/>
      <c r="G16" s="84"/>
      <c r="H16" s="84"/>
      <c r="I16" s="84"/>
      <c r="J16" s="84"/>
      <c r="K16" s="84"/>
      <c r="L16" s="84"/>
      <c r="M16" s="84"/>
      <c r="N16" s="84"/>
      <c r="O16" s="84"/>
      <c r="P16" s="185"/>
    </row>
    <row r="17" spans="1:16">
      <c r="A17" s="192"/>
      <c r="B17" s="84"/>
      <c r="C17" s="84"/>
      <c r="D17" s="84"/>
      <c r="E17" s="84"/>
      <c r="F17" s="42"/>
      <c r="G17" s="84"/>
      <c r="H17" s="84"/>
      <c r="I17" s="84"/>
      <c r="J17" s="84"/>
      <c r="K17" s="84"/>
      <c r="L17" s="84"/>
      <c r="M17" s="84"/>
      <c r="N17" s="84"/>
      <c r="O17" s="84"/>
      <c r="P17" s="185"/>
    </row>
    <row r="18" spans="1:16">
      <c r="A18" s="192"/>
      <c r="B18" s="84"/>
      <c r="C18" s="84"/>
      <c r="D18" s="84"/>
      <c r="E18" s="84"/>
      <c r="F18" s="42"/>
      <c r="G18" s="84"/>
      <c r="H18" s="84"/>
      <c r="I18" s="84"/>
      <c r="J18" s="84"/>
      <c r="K18" s="84"/>
      <c r="L18" s="84"/>
      <c r="M18" s="84"/>
      <c r="N18" s="84"/>
      <c r="O18" s="84"/>
      <c r="P18" s="185"/>
    </row>
    <row r="19" spans="1:16">
      <c r="A19" s="192"/>
      <c r="B19" s="84"/>
      <c r="C19" s="84"/>
      <c r="D19" s="84"/>
      <c r="E19" s="84"/>
      <c r="F19" s="42"/>
      <c r="G19" s="84"/>
      <c r="H19" s="84"/>
      <c r="I19" s="84"/>
      <c r="J19" s="84"/>
      <c r="K19" s="84"/>
      <c r="L19" s="84"/>
      <c r="M19" s="84"/>
      <c r="N19" s="84"/>
      <c r="O19" s="84"/>
      <c r="P19" s="185"/>
    </row>
    <row r="20" spans="1:16">
      <c r="A20" s="192"/>
      <c r="B20" s="84"/>
      <c r="C20" s="84"/>
      <c r="D20" s="84"/>
      <c r="E20" s="84"/>
      <c r="F20" s="42"/>
      <c r="G20" s="84"/>
      <c r="H20" s="84"/>
      <c r="I20" s="84"/>
      <c r="J20" s="84"/>
      <c r="K20" s="84"/>
      <c r="L20" s="84"/>
      <c r="M20" s="84"/>
      <c r="N20" s="84"/>
      <c r="O20" s="84"/>
      <c r="P20" s="185"/>
    </row>
    <row r="21" spans="1:16">
      <c r="A21" s="192"/>
      <c r="B21" s="84"/>
      <c r="C21" s="84"/>
      <c r="D21" s="84"/>
      <c r="E21" s="84"/>
      <c r="F21" s="42"/>
      <c r="G21" s="84"/>
      <c r="H21" s="84"/>
      <c r="I21" s="84"/>
      <c r="J21" s="84"/>
      <c r="K21" s="84"/>
      <c r="L21" s="84"/>
      <c r="M21" s="84"/>
      <c r="N21" s="84"/>
      <c r="O21" s="84"/>
      <c r="P21" s="185"/>
    </row>
    <row r="22" spans="1:16">
      <c r="A22" s="192"/>
      <c r="B22" s="84"/>
      <c r="C22" s="84"/>
      <c r="D22" s="84"/>
      <c r="E22" s="84"/>
      <c r="F22" s="42"/>
      <c r="G22" s="84"/>
      <c r="H22" s="84"/>
      <c r="I22" s="84"/>
      <c r="J22" s="84"/>
      <c r="K22" s="84"/>
      <c r="L22" s="84"/>
      <c r="M22" s="84"/>
      <c r="N22" s="84"/>
      <c r="O22" s="84"/>
      <c r="P22" s="185"/>
    </row>
    <row r="23" spans="1:16">
      <c r="A23" s="192"/>
      <c r="B23" s="84"/>
      <c r="C23" s="84"/>
      <c r="D23" s="84"/>
      <c r="E23" s="84"/>
      <c r="F23" s="42"/>
      <c r="G23" s="84"/>
      <c r="H23" s="84"/>
      <c r="I23" s="84"/>
      <c r="J23" s="84"/>
      <c r="K23" s="84"/>
      <c r="L23" s="84"/>
      <c r="M23" s="84"/>
      <c r="N23" s="84"/>
      <c r="O23" s="84"/>
      <c r="P23" s="185"/>
    </row>
    <row r="24" spans="1:16">
      <c r="A24" s="192"/>
      <c r="B24" s="84"/>
      <c r="C24" s="84"/>
      <c r="D24" s="84"/>
      <c r="E24" s="84"/>
      <c r="F24" s="42"/>
      <c r="G24" s="84"/>
      <c r="H24" s="84"/>
      <c r="I24" s="84"/>
      <c r="J24" s="84"/>
      <c r="K24" s="84"/>
      <c r="L24" s="84"/>
      <c r="M24" s="84"/>
      <c r="N24" s="84"/>
      <c r="O24" s="84"/>
      <c r="P24" s="185"/>
    </row>
    <row r="25" spans="1:16">
      <c r="A25" s="192"/>
      <c r="B25" s="84"/>
      <c r="C25" s="84"/>
      <c r="D25" s="84"/>
      <c r="E25" s="84"/>
      <c r="F25" s="42"/>
      <c r="G25" s="84"/>
      <c r="H25" s="84"/>
      <c r="I25" s="84"/>
      <c r="J25" s="84"/>
      <c r="K25" s="84"/>
      <c r="L25" s="84"/>
      <c r="M25" s="84"/>
      <c r="N25" s="84"/>
      <c r="O25" s="84"/>
      <c r="P25" s="185"/>
    </row>
    <row r="26" spans="1:16">
      <c r="A26" s="192"/>
      <c r="B26" s="84"/>
      <c r="C26" s="84"/>
      <c r="D26" s="84"/>
      <c r="E26" s="84"/>
      <c r="F26" s="42"/>
      <c r="G26" s="84"/>
      <c r="H26" s="84"/>
      <c r="I26" s="84"/>
      <c r="J26" s="84"/>
      <c r="K26" s="84"/>
      <c r="L26" s="84"/>
      <c r="M26" s="84"/>
      <c r="N26" s="84"/>
      <c r="O26" s="84"/>
      <c r="P26" s="185"/>
    </row>
    <row r="27" spans="1:16">
      <c r="A27" s="192"/>
      <c r="B27" s="84"/>
      <c r="C27" s="84"/>
      <c r="D27" s="84"/>
      <c r="E27" s="84"/>
      <c r="F27" s="42"/>
      <c r="G27" s="84"/>
      <c r="H27" s="84"/>
      <c r="I27" s="84"/>
      <c r="J27" s="84"/>
      <c r="K27" s="84"/>
      <c r="L27" s="84"/>
      <c r="M27" s="84"/>
      <c r="N27" s="84"/>
      <c r="O27" s="84"/>
      <c r="P27" s="185"/>
    </row>
    <row r="28" spans="1:16">
      <c r="A28" s="192"/>
      <c r="B28" s="84"/>
      <c r="C28" s="84"/>
      <c r="D28" s="84"/>
      <c r="E28" s="84"/>
      <c r="F28" s="42"/>
      <c r="G28" s="84"/>
      <c r="H28" s="84"/>
      <c r="I28" s="84"/>
      <c r="J28" s="84"/>
      <c r="K28" s="84"/>
      <c r="L28" s="84"/>
      <c r="M28" s="84"/>
      <c r="N28" s="84"/>
      <c r="O28" s="84"/>
      <c r="P28" s="185"/>
    </row>
    <row r="29" spans="1:16">
      <c r="A29" s="192"/>
      <c r="B29" s="84"/>
      <c r="C29" s="84"/>
      <c r="D29" s="84"/>
      <c r="E29" s="84"/>
      <c r="F29" s="42"/>
      <c r="G29" s="84"/>
      <c r="H29" s="84"/>
      <c r="I29" s="84"/>
      <c r="J29" s="84"/>
      <c r="K29" s="84"/>
      <c r="L29" s="84"/>
      <c r="M29" s="84"/>
      <c r="N29" s="84"/>
      <c r="O29" s="84"/>
      <c r="P29" s="185"/>
    </row>
    <row r="30" spans="1:16">
      <c r="A30" s="192"/>
      <c r="B30" s="84"/>
      <c r="C30" s="84"/>
      <c r="D30" s="84"/>
      <c r="E30" s="84"/>
      <c r="F30" s="42"/>
      <c r="G30" s="84"/>
      <c r="H30" s="84"/>
      <c r="I30" s="84"/>
      <c r="J30" s="84"/>
      <c r="K30" s="84"/>
      <c r="L30" s="84"/>
      <c r="M30" s="84"/>
      <c r="N30" s="84"/>
      <c r="O30" s="84"/>
      <c r="P30" s="185"/>
    </row>
    <row r="31" spans="1:16">
      <c r="A31" s="192"/>
      <c r="B31" s="84"/>
      <c r="C31" s="84"/>
      <c r="D31" s="84"/>
      <c r="E31" s="84"/>
      <c r="F31" s="42"/>
      <c r="G31" s="84"/>
      <c r="H31" s="84"/>
      <c r="I31" s="84"/>
      <c r="J31" s="84"/>
      <c r="K31" s="84"/>
      <c r="L31" s="84"/>
      <c r="M31" s="84"/>
      <c r="N31" s="84"/>
      <c r="O31" s="84"/>
      <c r="P31" s="185"/>
    </row>
    <row r="32" spans="1:16">
      <c r="A32" s="192"/>
      <c r="B32" s="84"/>
      <c r="C32" s="84"/>
      <c r="D32" s="84"/>
      <c r="E32" s="84"/>
      <c r="F32" s="42"/>
      <c r="G32" s="84"/>
      <c r="H32" s="84"/>
      <c r="I32" s="84"/>
      <c r="J32" s="84"/>
      <c r="K32" s="84"/>
      <c r="L32" s="84"/>
      <c r="M32" s="84"/>
      <c r="N32" s="84"/>
      <c r="O32" s="84"/>
      <c r="P32" s="185"/>
    </row>
    <row r="33" spans="1:16">
      <c r="A33" s="192"/>
      <c r="B33" s="84"/>
      <c r="C33" s="84"/>
      <c r="D33" s="84"/>
      <c r="E33" s="84"/>
      <c r="F33" s="42"/>
      <c r="G33" s="84"/>
      <c r="H33" s="84"/>
      <c r="I33" s="84"/>
      <c r="J33" s="84"/>
      <c r="K33" s="84"/>
      <c r="L33" s="84"/>
      <c r="M33" s="84"/>
      <c r="N33" s="84"/>
      <c r="O33" s="84"/>
      <c r="P33" s="185"/>
    </row>
    <row r="34" spans="1:16">
      <c r="A34" s="192"/>
      <c r="B34" s="84"/>
      <c r="C34" s="84"/>
      <c r="D34" s="84"/>
      <c r="E34" s="84"/>
      <c r="F34" s="42"/>
      <c r="G34" s="84"/>
      <c r="H34" s="84"/>
      <c r="I34" s="84"/>
      <c r="J34" s="84"/>
      <c r="K34" s="84"/>
      <c r="L34" s="84"/>
      <c r="M34" s="84"/>
      <c r="N34" s="84"/>
      <c r="O34" s="84"/>
      <c r="P34" s="185"/>
    </row>
    <row r="35" spans="1:16">
      <c r="A35" s="192"/>
      <c r="B35" s="84"/>
      <c r="C35" s="84"/>
      <c r="D35" s="84"/>
      <c r="E35" s="84"/>
      <c r="F35" s="42"/>
      <c r="G35" s="84"/>
      <c r="H35" s="84"/>
      <c r="I35" s="84"/>
      <c r="J35" s="84"/>
      <c r="K35" s="84"/>
      <c r="L35" s="84"/>
      <c r="M35" s="84"/>
      <c r="N35" s="84"/>
      <c r="O35" s="84"/>
      <c r="P35" s="185"/>
    </row>
    <row r="36" spans="1:16">
      <c r="A36" s="192"/>
      <c r="B36" s="84"/>
      <c r="C36" s="84"/>
      <c r="D36" s="84"/>
      <c r="E36" s="84"/>
      <c r="F36" s="42"/>
      <c r="G36" s="84"/>
      <c r="H36" s="84"/>
      <c r="I36" s="84"/>
      <c r="J36" s="84"/>
      <c r="K36" s="84"/>
      <c r="L36" s="84"/>
      <c r="M36" s="84"/>
      <c r="N36" s="84"/>
      <c r="O36" s="84"/>
      <c r="P36" s="185"/>
    </row>
    <row r="37" spans="1:16">
      <c r="A37" s="192"/>
      <c r="B37" s="84"/>
      <c r="C37" s="84"/>
      <c r="D37" s="84"/>
      <c r="E37" s="84"/>
      <c r="F37" s="42"/>
      <c r="G37" s="84"/>
      <c r="H37" s="84"/>
      <c r="I37" s="84"/>
      <c r="J37" s="84"/>
      <c r="K37" s="84"/>
      <c r="L37" s="84"/>
      <c r="M37" s="84"/>
      <c r="N37" s="84"/>
      <c r="O37" s="84"/>
      <c r="P37" s="185"/>
    </row>
    <row r="38" spans="1:16">
      <c r="A38" s="192"/>
      <c r="B38" s="84"/>
      <c r="C38" s="84"/>
      <c r="D38" s="84"/>
      <c r="E38" s="84"/>
      <c r="F38" s="42"/>
      <c r="G38" s="84"/>
      <c r="H38" s="84"/>
      <c r="I38" s="84"/>
      <c r="J38" s="84"/>
      <c r="K38" s="84"/>
      <c r="L38" s="84"/>
      <c r="M38" s="84"/>
      <c r="N38" s="84"/>
      <c r="O38" s="84"/>
      <c r="P38" s="185"/>
    </row>
    <row r="39" spans="1:16">
      <c r="A39" s="192"/>
      <c r="B39" s="84"/>
      <c r="C39" s="84"/>
      <c r="D39" s="84"/>
      <c r="E39" s="84"/>
      <c r="F39" s="42"/>
      <c r="G39" s="84"/>
      <c r="H39" s="84"/>
      <c r="I39" s="84"/>
      <c r="J39" s="84"/>
      <c r="K39" s="84"/>
      <c r="L39" s="84"/>
      <c r="M39" s="84"/>
      <c r="N39" s="84"/>
      <c r="O39" s="84"/>
      <c r="P39" s="185"/>
    </row>
    <row r="40" spans="1:16">
      <c r="A40" s="192"/>
      <c r="B40" s="84"/>
      <c r="C40" s="84"/>
      <c r="D40" s="84"/>
      <c r="E40" s="84"/>
      <c r="F40" s="42"/>
      <c r="G40" s="84"/>
      <c r="H40" s="84"/>
      <c r="I40" s="84"/>
      <c r="J40" s="84"/>
      <c r="K40" s="84"/>
      <c r="L40" s="84"/>
      <c r="M40" s="84"/>
      <c r="N40" s="84"/>
      <c r="O40" s="84"/>
      <c r="P40" s="185"/>
    </row>
    <row r="41" spans="1:16">
      <c r="A41" s="192"/>
      <c r="B41" s="84"/>
      <c r="C41" s="84"/>
      <c r="D41" s="84"/>
      <c r="E41" s="84"/>
      <c r="F41" s="42"/>
      <c r="G41" s="84"/>
      <c r="H41" s="84"/>
      <c r="I41" s="84"/>
      <c r="J41" s="84"/>
      <c r="K41" s="84"/>
      <c r="L41" s="84"/>
      <c r="M41" s="84"/>
      <c r="N41" s="84"/>
      <c r="O41" s="84"/>
      <c r="P41" s="185"/>
    </row>
    <row r="42" spans="1:16">
      <c r="A42" s="192"/>
      <c r="B42" s="84"/>
      <c r="C42" s="84"/>
      <c r="D42" s="84"/>
      <c r="E42" s="84"/>
      <c r="F42" s="42"/>
      <c r="G42" s="84"/>
      <c r="H42" s="84"/>
      <c r="I42" s="84"/>
      <c r="J42" s="84"/>
      <c r="K42" s="84"/>
      <c r="L42" s="84"/>
      <c r="M42" s="84"/>
      <c r="N42" s="84"/>
      <c r="O42" s="84"/>
      <c r="P42" s="185"/>
    </row>
    <row r="43" spans="1:16">
      <c r="A43" s="192"/>
      <c r="B43" s="84"/>
      <c r="C43" s="84"/>
      <c r="D43" s="84"/>
      <c r="E43" s="84"/>
      <c r="F43" s="42"/>
      <c r="G43" s="84"/>
      <c r="H43" s="84"/>
      <c r="I43" s="84"/>
      <c r="J43" s="84"/>
      <c r="K43" s="84"/>
      <c r="L43" s="84"/>
      <c r="M43" s="84"/>
      <c r="N43" s="84"/>
      <c r="O43" s="84"/>
      <c r="P43" s="185"/>
    </row>
    <row r="44" spans="1:16">
      <c r="A44" s="192"/>
      <c r="B44" s="84"/>
      <c r="C44" s="84"/>
      <c r="D44" s="84"/>
      <c r="E44" s="84"/>
      <c r="F44" s="42"/>
      <c r="G44" s="84"/>
      <c r="H44" s="84"/>
      <c r="I44" s="84"/>
      <c r="J44" s="84"/>
      <c r="K44" s="84"/>
      <c r="L44" s="84"/>
      <c r="M44" s="84"/>
      <c r="N44" s="84"/>
      <c r="O44" s="84"/>
      <c r="P44" s="185"/>
    </row>
    <row r="45" spans="1:16">
      <c r="A45" s="192"/>
      <c r="B45" s="84"/>
      <c r="C45" s="84"/>
      <c r="D45" s="84"/>
      <c r="E45" s="84"/>
      <c r="F45" s="42"/>
      <c r="G45" s="84"/>
      <c r="H45" s="84"/>
      <c r="I45" s="84"/>
      <c r="J45" s="84"/>
      <c r="K45" s="84"/>
      <c r="L45" s="84"/>
      <c r="M45" s="84"/>
      <c r="N45" s="84"/>
      <c r="O45" s="84"/>
      <c r="P45" s="185"/>
    </row>
    <row r="46" spans="1:16">
      <c r="A46" s="192"/>
      <c r="B46" s="84"/>
      <c r="C46" s="84"/>
      <c r="D46" s="84"/>
      <c r="E46" s="84"/>
      <c r="F46" s="42"/>
      <c r="G46" s="84"/>
      <c r="H46" s="84"/>
      <c r="I46" s="84"/>
      <c r="J46" s="84"/>
      <c r="K46" s="84"/>
      <c r="L46" s="84"/>
      <c r="M46" s="84"/>
      <c r="N46" s="84"/>
      <c r="O46" s="84"/>
      <c r="P46" s="185"/>
    </row>
    <row r="47" spans="1:16">
      <c r="A47" s="192"/>
      <c r="B47" s="84"/>
      <c r="C47" s="84"/>
      <c r="D47" s="84"/>
      <c r="E47" s="84"/>
      <c r="F47" s="42"/>
      <c r="G47" s="84"/>
      <c r="H47" s="84"/>
      <c r="I47" s="84"/>
      <c r="J47" s="84"/>
      <c r="K47" s="84"/>
      <c r="L47" s="84"/>
      <c r="M47" s="84"/>
      <c r="N47" s="84"/>
      <c r="O47" s="84"/>
      <c r="P47" s="185"/>
    </row>
    <row r="48" spans="1:16">
      <c r="A48" s="192"/>
      <c r="B48" s="84"/>
      <c r="C48" s="84"/>
      <c r="D48" s="84"/>
      <c r="E48" s="84"/>
      <c r="F48" s="42"/>
      <c r="G48" s="84"/>
      <c r="H48" s="84"/>
      <c r="I48" s="84"/>
      <c r="J48" s="84"/>
      <c r="K48" s="84"/>
      <c r="L48" s="84"/>
      <c r="M48" s="84"/>
      <c r="N48" s="84"/>
      <c r="O48" s="84"/>
      <c r="P48" s="185"/>
    </row>
    <row r="49" spans="1:16">
      <c r="A49" s="192"/>
      <c r="B49" s="84"/>
      <c r="C49" s="84"/>
      <c r="D49" s="84"/>
      <c r="E49" s="84"/>
      <c r="F49" s="42"/>
      <c r="G49" s="84"/>
      <c r="H49" s="84"/>
      <c r="I49" s="84"/>
      <c r="J49" s="84"/>
      <c r="K49" s="84"/>
      <c r="L49" s="84"/>
      <c r="M49" s="84"/>
      <c r="N49" s="84"/>
      <c r="O49" s="84"/>
      <c r="P49" s="185"/>
    </row>
    <row r="50" spans="1:16">
      <c r="A50" s="192"/>
      <c r="B50" s="84"/>
      <c r="C50" s="84"/>
      <c r="D50" s="84"/>
      <c r="E50" s="84"/>
      <c r="F50" s="42"/>
      <c r="G50" s="84"/>
      <c r="H50" s="84"/>
      <c r="I50" s="84"/>
      <c r="J50" s="84"/>
      <c r="K50" s="84"/>
      <c r="L50" s="84"/>
      <c r="M50" s="84"/>
      <c r="N50" s="84"/>
      <c r="O50" s="84"/>
      <c r="P50" s="185"/>
    </row>
    <row r="51" spans="1:16">
      <c r="A51" s="192"/>
      <c r="B51" s="84"/>
      <c r="C51" s="84"/>
      <c r="D51" s="84"/>
      <c r="E51" s="84"/>
      <c r="F51" s="42"/>
      <c r="G51" s="84"/>
      <c r="H51" s="84"/>
      <c r="I51" s="84"/>
      <c r="J51" s="84"/>
      <c r="K51" s="84"/>
      <c r="L51" s="84"/>
      <c r="M51" s="84"/>
      <c r="N51" s="84"/>
      <c r="O51" s="84"/>
      <c r="P51" s="185"/>
    </row>
    <row r="52" spans="1:16">
      <c r="A52" s="192"/>
      <c r="B52" s="84"/>
      <c r="C52" s="84"/>
      <c r="D52" s="84"/>
      <c r="E52" s="84"/>
      <c r="F52" s="42"/>
      <c r="G52" s="84"/>
      <c r="H52" s="84"/>
      <c r="I52" s="84"/>
      <c r="J52" s="84"/>
      <c r="K52" s="84"/>
      <c r="L52" s="84"/>
      <c r="M52" s="84"/>
      <c r="N52" s="84"/>
      <c r="O52" s="84"/>
      <c r="P52" s="185"/>
    </row>
    <row r="53" spans="1:16">
      <c r="A53" s="192"/>
      <c r="B53" s="84"/>
      <c r="C53" s="84"/>
      <c r="D53" s="84"/>
      <c r="E53" s="84"/>
      <c r="F53" s="42"/>
      <c r="G53" s="84"/>
      <c r="H53" s="84"/>
      <c r="I53" s="84"/>
      <c r="J53" s="84"/>
      <c r="K53" s="84"/>
      <c r="L53" s="84"/>
      <c r="M53" s="84"/>
      <c r="N53" s="84"/>
      <c r="O53" s="84"/>
      <c r="P53" s="185"/>
    </row>
    <row r="54" spans="1:16">
      <c r="A54" s="192"/>
      <c r="B54" s="84"/>
      <c r="C54" s="84"/>
      <c r="D54" s="84"/>
      <c r="E54" s="84"/>
      <c r="F54" s="42"/>
      <c r="G54" s="84"/>
      <c r="H54" s="84"/>
      <c r="I54" s="84"/>
      <c r="J54" s="84"/>
      <c r="K54" s="84"/>
      <c r="L54" s="84"/>
      <c r="M54" s="84"/>
      <c r="N54" s="84"/>
      <c r="O54" s="84"/>
      <c r="P54" s="185"/>
    </row>
    <row r="55" spans="1:16">
      <c r="A55" s="192"/>
      <c r="B55" s="84"/>
      <c r="C55" s="84"/>
      <c r="D55" s="84"/>
      <c r="E55" s="84"/>
      <c r="F55" s="42"/>
      <c r="G55" s="84"/>
      <c r="H55" s="84"/>
      <c r="I55" s="84"/>
      <c r="J55" s="84"/>
      <c r="K55" s="84"/>
      <c r="L55" s="84"/>
      <c r="M55" s="84"/>
      <c r="N55" s="84"/>
      <c r="O55" s="84"/>
      <c r="P55" s="185"/>
    </row>
    <row r="56" spans="1:16">
      <c r="A56" s="192"/>
      <c r="B56" s="84"/>
      <c r="C56" s="84"/>
      <c r="D56" s="84"/>
      <c r="E56" s="84"/>
      <c r="F56" s="42"/>
      <c r="G56" s="84"/>
      <c r="H56" s="84"/>
      <c r="I56" s="84"/>
      <c r="J56" s="84"/>
      <c r="K56" s="84"/>
      <c r="L56" s="84"/>
      <c r="M56" s="84"/>
      <c r="N56" s="84"/>
      <c r="O56" s="84"/>
      <c r="P56" s="185"/>
    </row>
    <row r="57" spans="1:16">
      <c r="A57" s="192"/>
      <c r="B57" s="84"/>
      <c r="C57" s="84"/>
      <c r="D57" s="84"/>
      <c r="E57" s="84"/>
      <c r="F57" s="42"/>
      <c r="G57" s="84"/>
      <c r="H57" s="84"/>
      <c r="I57" s="84"/>
      <c r="J57" s="84"/>
      <c r="K57" s="84"/>
      <c r="L57" s="84"/>
      <c r="M57" s="84"/>
      <c r="N57" s="84"/>
      <c r="O57" s="84"/>
      <c r="P57" s="185"/>
    </row>
    <row r="58" spans="1:16">
      <c r="A58" s="192"/>
      <c r="B58" s="84"/>
      <c r="C58" s="84"/>
      <c r="D58" s="84"/>
      <c r="E58" s="84"/>
      <c r="F58" s="42"/>
      <c r="G58" s="84"/>
      <c r="H58" s="84"/>
      <c r="I58" s="84"/>
      <c r="J58" s="84"/>
      <c r="K58" s="84"/>
      <c r="L58" s="84"/>
      <c r="M58" s="84"/>
      <c r="N58" s="84"/>
      <c r="O58" s="84"/>
      <c r="P58" s="185"/>
    </row>
    <row r="59" spans="1:16">
      <c r="A59" s="192"/>
      <c r="B59" s="84"/>
      <c r="C59" s="84"/>
      <c r="D59" s="84"/>
      <c r="E59" s="84"/>
      <c r="F59" s="42"/>
      <c r="G59" s="84"/>
      <c r="H59" s="84"/>
      <c r="I59" s="84"/>
      <c r="J59" s="84"/>
      <c r="K59" s="84"/>
      <c r="L59" s="84"/>
      <c r="M59" s="84"/>
      <c r="N59" s="84"/>
      <c r="O59" s="84"/>
      <c r="P59" s="185"/>
    </row>
    <row r="60" spans="1:16">
      <c r="A60" s="192"/>
      <c r="B60" s="84"/>
      <c r="C60" s="84"/>
      <c r="D60" s="84"/>
      <c r="E60" s="84"/>
      <c r="F60" s="42"/>
      <c r="G60" s="84"/>
      <c r="H60" s="84"/>
      <c r="I60" s="84"/>
      <c r="J60" s="84"/>
      <c r="K60" s="84"/>
      <c r="L60" s="84"/>
      <c r="M60" s="84"/>
      <c r="N60" s="84"/>
      <c r="O60" s="84"/>
      <c r="P60" s="185"/>
    </row>
    <row r="61" spans="1:16">
      <c r="A61" s="192"/>
      <c r="B61" s="84"/>
      <c r="C61" s="84"/>
      <c r="D61" s="84"/>
      <c r="E61" s="84"/>
      <c r="F61" s="42"/>
      <c r="G61" s="84"/>
      <c r="H61" s="84"/>
      <c r="I61" s="84"/>
      <c r="J61" s="84"/>
      <c r="K61" s="84"/>
      <c r="L61" s="84"/>
      <c r="M61" s="84"/>
      <c r="N61" s="84"/>
      <c r="O61" s="84"/>
      <c r="P61" s="185"/>
    </row>
    <row r="62" spans="1:16">
      <c r="A62" s="192"/>
      <c r="B62" s="84"/>
      <c r="C62" s="84"/>
      <c r="D62" s="84"/>
      <c r="E62" s="84"/>
      <c r="F62" s="42"/>
      <c r="G62" s="84"/>
      <c r="H62" s="84"/>
      <c r="I62" s="84"/>
      <c r="J62" s="84"/>
      <c r="K62" s="84"/>
      <c r="L62" s="84"/>
      <c r="M62" s="84"/>
      <c r="N62" s="84"/>
      <c r="O62" s="84"/>
      <c r="P62" s="185"/>
    </row>
    <row r="63" spans="1:16">
      <c r="A63" s="192"/>
      <c r="B63" s="84"/>
      <c r="C63" s="84"/>
      <c r="D63" s="84"/>
      <c r="E63" s="84"/>
      <c r="F63" s="42"/>
      <c r="G63" s="84"/>
      <c r="H63" s="84"/>
      <c r="I63" s="84"/>
      <c r="J63" s="84"/>
      <c r="K63" s="84"/>
      <c r="L63" s="84"/>
      <c r="M63" s="84"/>
      <c r="N63" s="84"/>
      <c r="O63" s="84"/>
      <c r="P63" s="185"/>
    </row>
    <row r="64" spans="1:16">
      <c r="A64" s="192"/>
      <c r="B64" s="84"/>
      <c r="C64" s="84"/>
      <c r="D64" s="84"/>
      <c r="E64" s="84"/>
      <c r="F64" s="42"/>
      <c r="G64" s="84"/>
      <c r="H64" s="84"/>
      <c r="I64" s="84"/>
      <c r="J64" s="84"/>
      <c r="K64" s="84"/>
      <c r="L64" s="84"/>
      <c r="M64" s="84"/>
      <c r="N64" s="84"/>
      <c r="O64" s="84"/>
      <c r="P64" s="185"/>
    </row>
    <row r="65" spans="1:16">
      <c r="A65" s="192"/>
      <c r="B65" s="84"/>
      <c r="C65" s="84"/>
      <c r="D65" s="84"/>
      <c r="E65" s="84"/>
      <c r="F65" s="42"/>
      <c r="G65" s="84"/>
      <c r="H65" s="84"/>
      <c r="I65" s="84"/>
      <c r="J65" s="84"/>
      <c r="K65" s="84"/>
      <c r="L65" s="84"/>
      <c r="M65" s="84"/>
      <c r="N65" s="84"/>
      <c r="O65" s="84"/>
      <c r="P65" s="185"/>
    </row>
    <row r="66" spans="1:16">
      <c r="A66" s="192"/>
      <c r="B66" s="84"/>
      <c r="C66" s="84"/>
      <c r="D66" s="84"/>
      <c r="E66" s="84"/>
      <c r="F66" s="42"/>
      <c r="G66" s="84"/>
      <c r="H66" s="84"/>
      <c r="I66" s="84"/>
      <c r="J66" s="84"/>
      <c r="K66" s="84"/>
      <c r="L66" s="84"/>
      <c r="M66" s="84"/>
      <c r="N66" s="84"/>
      <c r="O66" s="84"/>
      <c r="P66" s="185"/>
    </row>
    <row r="67" spans="1:16">
      <c r="A67" s="192"/>
      <c r="B67" s="84"/>
      <c r="C67" s="84"/>
      <c r="D67" s="84"/>
      <c r="E67" s="84"/>
      <c r="F67" s="42"/>
      <c r="G67" s="84"/>
      <c r="H67" s="84"/>
      <c r="I67" s="84"/>
      <c r="J67" s="84"/>
      <c r="K67" s="84"/>
      <c r="L67" s="84"/>
      <c r="M67" s="84"/>
      <c r="N67" s="84"/>
      <c r="O67" s="84"/>
      <c r="P67" s="185"/>
    </row>
    <row r="68" spans="1:16">
      <c r="A68" s="192"/>
      <c r="B68" s="84"/>
      <c r="C68" s="84"/>
      <c r="D68" s="84"/>
      <c r="E68" s="84"/>
      <c r="F68" s="42"/>
      <c r="G68" s="84"/>
      <c r="H68" s="84"/>
      <c r="I68" s="84"/>
      <c r="J68" s="84"/>
      <c r="K68" s="84"/>
      <c r="L68" s="84"/>
      <c r="M68" s="84"/>
      <c r="N68" s="84"/>
      <c r="O68" s="84"/>
      <c r="P68" s="185"/>
    </row>
    <row r="69" spans="1:16">
      <c r="A69" s="192"/>
      <c r="B69" s="84"/>
      <c r="C69" s="84"/>
      <c r="D69" s="84"/>
      <c r="E69" s="84"/>
      <c r="F69" s="42"/>
      <c r="G69" s="84"/>
      <c r="H69" s="84"/>
      <c r="I69" s="84"/>
      <c r="J69" s="84"/>
      <c r="K69" s="84"/>
      <c r="L69" s="84"/>
      <c r="M69" s="84"/>
      <c r="N69" s="84"/>
      <c r="O69" s="84"/>
      <c r="P69" s="185"/>
    </row>
    <row r="70" spans="1:16">
      <c r="A70" s="192"/>
      <c r="B70" s="84"/>
      <c r="C70" s="84"/>
      <c r="D70" s="84"/>
      <c r="E70" s="84"/>
      <c r="F70" s="42"/>
      <c r="G70" s="84"/>
      <c r="H70" s="84"/>
      <c r="I70" s="84"/>
      <c r="J70" s="84"/>
      <c r="K70" s="84"/>
      <c r="L70" s="84"/>
      <c r="M70" s="84"/>
      <c r="N70" s="84"/>
      <c r="O70" s="84"/>
      <c r="P70" s="185"/>
    </row>
    <row r="71" spans="1:16">
      <c r="A71" s="192"/>
      <c r="B71" s="84"/>
      <c r="C71" s="84"/>
      <c r="D71" s="84"/>
      <c r="E71" s="84"/>
      <c r="F71" s="42"/>
      <c r="G71" s="84"/>
      <c r="H71" s="84"/>
      <c r="I71" s="84"/>
      <c r="J71" s="84"/>
      <c r="K71" s="84"/>
      <c r="L71" s="84"/>
      <c r="M71" s="84"/>
      <c r="N71" s="84"/>
      <c r="O71" s="84"/>
      <c r="P71" s="185"/>
    </row>
    <row r="72" spans="1:16">
      <c r="A72" s="192"/>
      <c r="B72" s="84"/>
      <c r="C72" s="84"/>
      <c r="D72" s="84"/>
      <c r="E72" s="84"/>
      <c r="F72" s="42"/>
      <c r="G72" s="84"/>
      <c r="H72" s="84"/>
      <c r="I72" s="84"/>
      <c r="J72" s="84"/>
      <c r="K72" s="84"/>
      <c r="L72" s="84"/>
      <c r="M72" s="84"/>
      <c r="N72" s="84"/>
      <c r="O72" s="84"/>
      <c r="P72" s="185"/>
    </row>
    <row r="73" spans="1:16">
      <c r="A73" s="192"/>
      <c r="B73" s="84"/>
      <c r="C73" s="84"/>
      <c r="D73" s="84"/>
      <c r="E73" s="84"/>
      <c r="F73" s="42"/>
      <c r="G73" s="84"/>
      <c r="H73" s="84"/>
      <c r="I73" s="84"/>
      <c r="J73" s="84"/>
      <c r="K73" s="84"/>
      <c r="L73" s="84"/>
      <c r="M73" s="84"/>
      <c r="N73" s="84"/>
      <c r="O73" s="84"/>
      <c r="P73" s="185"/>
    </row>
    <row r="74" spans="1:16">
      <c r="A74" s="192"/>
      <c r="B74" s="84"/>
      <c r="C74" s="84"/>
      <c r="D74" s="84"/>
      <c r="E74" s="84"/>
      <c r="F74" s="42"/>
      <c r="G74" s="84"/>
      <c r="H74" s="84"/>
      <c r="I74" s="84"/>
      <c r="J74" s="84"/>
      <c r="K74" s="84"/>
      <c r="L74" s="84"/>
      <c r="M74" s="84"/>
      <c r="N74" s="84"/>
      <c r="O74" s="84"/>
      <c r="P74" s="185"/>
    </row>
    <row r="75" spans="1:16">
      <c r="A75" s="192"/>
      <c r="B75" s="84"/>
      <c r="C75" s="84"/>
      <c r="D75" s="84"/>
      <c r="E75" s="84"/>
      <c r="F75" s="42"/>
      <c r="G75" s="84"/>
      <c r="H75" s="84"/>
      <c r="I75" s="84"/>
      <c r="J75" s="84"/>
      <c r="K75" s="84"/>
      <c r="L75" s="84"/>
      <c r="M75" s="84"/>
      <c r="N75" s="84"/>
      <c r="O75" s="84"/>
      <c r="P75" s="185"/>
    </row>
    <row r="76" spans="1:16">
      <c r="A76" s="192"/>
      <c r="B76" s="84"/>
      <c r="C76" s="84"/>
      <c r="D76" s="84"/>
      <c r="E76" s="84"/>
      <c r="F76" s="42"/>
      <c r="G76" s="84"/>
      <c r="H76" s="84"/>
      <c r="I76" s="84"/>
      <c r="J76" s="84"/>
      <c r="K76" s="84"/>
      <c r="L76" s="84"/>
      <c r="M76" s="84"/>
      <c r="N76" s="84"/>
      <c r="O76" s="84"/>
      <c r="P76" s="185"/>
    </row>
    <row r="77" spans="1:16">
      <c r="A77" s="192"/>
      <c r="B77" s="84"/>
      <c r="C77" s="84"/>
      <c r="D77" s="84"/>
      <c r="E77" s="84"/>
      <c r="F77" s="42"/>
      <c r="G77" s="84"/>
      <c r="H77" s="84"/>
      <c r="I77" s="84"/>
      <c r="J77" s="84"/>
      <c r="K77" s="84"/>
      <c r="L77" s="84"/>
      <c r="M77" s="84"/>
      <c r="N77" s="84"/>
      <c r="O77" s="84"/>
      <c r="P77" s="185"/>
    </row>
    <row r="78" spans="1:16">
      <c r="A78" s="192"/>
      <c r="B78" s="84"/>
      <c r="C78" s="84"/>
      <c r="D78" s="84"/>
      <c r="E78" s="84"/>
      <c r="F78" s="42"/>
      <c r="G78" s="84"/>
      <c r="H78" s="84"/>
      <c r="I78" s="84"/>
      <c r="J78" s="84"/>
      <c r="K78" s="84"/>
      <c r="L78" s="84"/>
      <c r="M78" s="84"/>
      <c r="N78" s="84"/>
      <c r="O78" s="84"/>
      <c r="P78" s="185"/>
    </row>
    <row r="79" spans="1:16">
      <c r="A79" s="192"/>
      <c r="B79" s="84"/>
      <c r="C79" s="84"/>
      <c r="D79" s="84"/>
      <c r="E79" s="84"/>
      <c r="F79" s="42"/>
      <c r="G79" s="84"/>
      <c r="H79" s="84"/>
      <c r="I79" s="84"/>
      <c r="J79" s="84"/>
      <c r="K79" s="84"/>
      <c r="L79" s="84"/>
      <c r="M79" s="84"/>
      <c r="N79" s="84"/>
      <c r="O79" s="84"/>
      <c r="P79" s="185"/>
    </row>
    <row r="80" spans="1:16">
      <c r="A80" s="192"/>
      <c r="B80" s="84"/>
      <c r="C80" s="84"/>
      <c r="D80" s="84"/>
      <c r="E80" s="84"/>
      <c r="F80" s="42"/>
      <c r="G80" s="84"/>
      <c r="H80" s="84"/>
      <c r="I80" s="84"/>
      <c r="J80" s="84"/>
      <c r="K80" s="84"/>
      <c r="L80" s="84"/>
      <c r="M80" s="84"/>
      <c r="N80" s="84"/>
      <c r="O80" s="84"/>
      <c r="P80" s="185"/>
    </row>
    <row r="81" spans="1:16">
      <c r="A81" s="192"/>
      <c r="B81" s="84"/>
      <c r="C81" s="84"/>
      <c r="D81" s="84"/>
      <c r="E81" s="84"/>
      <c r="F81" s="42"/>
      <c r="G81" s="84"/>
      <c r="H81" s="84"/>
      <c r="I81" s="84"/>
      <c r="J81" s="84"/>
      <c r="K81" s="84"/>
      <c r="L81" s="84"/>
      <c r="M81" s="84"/>
      <c r="N81" s="84"/>
      <c r="O81" s="84"/>
      <c r="P81" s="185"/>
    </row>
    <row r="82" spans="1:16">
      <c r="A82" s="192"/>
      <c r="B82" s="84"/>
      <c r="C82" s="84"/>
      <c r="D82" s="84"/>
      <c r="E82" s="84"/>
      <c r="F82" s="42"/>
      <c r="G82" s="84"/>
      <c r="H82" s="84"/>
      <c r="I82" s="84"/>
      <c r="J82" s="84"/>
      <c r="K82" s="84"/>
      <c r="L82" s="84"/>
      <c r="M82" s="84"/>
      <c r="N82" s="84"/>
      <c r="O82" s="84"/>
      <c r="P82" s="185"/>
    </row>
    <row r="83" spans="1:16">
      <c r="A83" s="192"/>
      <c r="B83" s="84"/>
      <c r="C83" s="84"/>
      <c r="D83" s="84"/>
      <c r="E83" s="84"/>
      <c r="F83" s="42"/>
      <c r="G83" s="84"/>
      <c r="H83" s="84"/>
      <c r="I83" s="84"/>
      <c r="J83" s="84"/>
      <c r="K83" s="84"/>
      <c r="L83" s="84"/>
      <c r="M83" s="84"/>
      <c r="N83" s="84"/>
      <c r="O83" s="84"/>
      <c r="P83" s="185"/>
    </row>
    <row r="84" spans="1:16">
      <c r="A84" s="192"/>
      <c r="B84" s="84"/>
      <c r="C84" s="84"/>
      <c r="D84" s="84"/>
      <c r="E84" s="84"/>
      <c r="F84" s="42"/>
      <c r="G84" s="84"/>
      <c r="H84" s="84"/>
      <c r="I84" s="84"/>
      <c r="J84" s="84"/>
      <c r="K84" s="84"/>
      <c r="L84" s="84"/>
      <c r="M84" s="84"/>
      <c r="N84" s="84"/>
      <c r="O84" s="84"/>
      <c r="P84" s="185"/>
    </row>
    <row r="85" spans="1:16">
      <c r="A85" s="192"/>
      <c r="B85" s="84"/>
      <c r="C85" s="84"/>
      <c r="D85" s="84"/>
      <c r="E85" s="84"/>
      <c r="F85" s="42"/>
      <c r="G85" s="84"/>
      <c r="H85" s="84"/>
      <c r="I85" s="84"/>
      <c r="J85" s="84"/>
      <c r="K85" s="84"/>
      <c r="L85" s="84"/>
      <c r="M85" s="84"/>
      <c r="N85" s="84"/>
      <c r="O85" s="84"/>
      <c r="P85" s="185"/>
    </row>
    <row r="86" spans="1:16">
      <c r="A86" s="192"/>
      <c r="B86" s="84"/>
      <c r="C86" s="84"/>
      <c r="D86" s="84"/>
      <c r="E86" s="84"/>
      <c r="F86" s="42"/>
      <c r="G86" s="84"/>
      <c r="H86" s="84"/>
      <c r="I86" s="84"/>
      <c r="J86" s="84"/>
      <c r="K86" s="84"/>
      <c r="L86" s="84"/>
      <c r="M86" s="84"/>
      <c r="N86" s="84"/>
      <c r="O86" s="84"/>
      <c r="P86" s="185"/>
    </row>
    <row r="87" spans="1:16">
      <c r="A87" s="192"/>
      <c r="B87" s="84"/>
      <c r="C87" s="84"/>
      <c r="D87" s="84"/>
      <c r="E87" s="84"/>
      <c r="F87" s="42"/>
      <c r="G87" s="84"/>
      <c r="H87" s="84"/>
      <c r="I87" s="84"/>
      <c r="J87" s="84"/>
      <c r="K87" s="84"/>
      <c r="L87" s="84"/>
      <c r="M87" s="84"/>
      <c r="N87" s="84"/>
      <c r="O87" s="84"/>
      <c r="P87" s="185"/>
    </row>
    <row r="88" spans="1:16">
      <c r="A88" s="192"/>
      <c r="B88" s="84"/>
      <c r="C88" s="84"/>
      <c r="D88" s="84"/>
      <c r="E88" s="84"/>
      <c r="F88" s="42"/>
      <c r="G88" s="84"/>
      <c r="H88" s="84"/>
      <c r="I88" s="84"/>
      <c r="J88" s="84"/>
      <c r="K88" s="84"/>
      <c r="L88" s="84"/>
      <c r="M88" s="84"/>
      <c r="N88" s="84"/>
      <c r="O88" s="84"/>
      <c r="P88" s="185"/>
    </row>
    <row r="89" spans="1:16">
      <c r="A89" s="192"/>
      <c r="B89" s="84"/>
      <c r="C89" s="84"/>
      <c r="D89" s="84"/>
      <c r="E89" s="84"/>
      <c r="F89" s="42"/>
      <c r="G89" s="84"/>
      <c r="H89" s="84"/>
      <c r="I89" s="84"/>
      <c r="J89" s="84"/>
      <c r="K89" s="84"/>
      <c r="L89" s="84"/>
      <c r="M89" s="84"/>
      <c r="N89" s="84"/>
      <c r="O89" s="84"/>
      <c r="P89" s="185"/>
    </row>
    <row r="90" spans="1:16">
      <c r="A90" s="192"/>
      <c r="B90" s="84"/>
      <c r="C90" s="84"/>
      <c r="D90" s="84"/>
      <c r="E90" s="84"/>
      <c r="F90" s="42"/>
      <c r="G90" s="84"/>
      <c r="H90" s="84"/>
      <c r="I90" s="84"/>
      <c r="J90" s="84"/>
      <c r="K90" s="84"/>
      <c r="L90" s="84"/>
      <c r="M90" s="84"/>
      <c r="N90" s="84"/>
      <c r="O90" s="84"/>
      <c r="P90" s="185"/>
    </row>
    <row r="91" spans="1:16">
      <c r="A91" s="192"/>
      <c r="B91" s="84"/>
      <c r="C91" s="84"/>
      <c r="D91" s="84"/>
      <c r="E91" s="84"/>
      <c r="F91" s="42"/>
      <c r="G91" s="84"/>
      <c r="H91" s="84"/>
      <c r="I91" s="84"/>
      <c r="J91" s="84"/>
      <c r="K91" s="84"/>
      <c r="L91" s="84"/>
      <c r="M91" s="84"/>
      <c r="N91" s="84"/>
      <c r="O91" s="84"/>
      <c r="P91" s="185"/>
    </row>
    <row r="92" spans="1:16">
      <c r="A92" s="192"/>
      <c r="B92" s="84"/>
      <c r="C92" s="84"/>
      <c r="D92" s="84"/>
      <c r="E92" s="84"/>
      <c r="F92" s="42"/>
      <c r="G92" s="84"/>
      <c r="H92" s="84"/>
      <c r="I92" s="84"/>
      <c r="J92" s="84"/>
      <c r="K92" s="84"/>
      <c r="L92" s="84"/>
      <c r="M92" s="84"/>
      <c r="N92" s="84"/>
      <c r="O92" s="84"/>
      <c r="P92" s="185"/>
    </row>
    <row r="93" spans="1:16">
      <c r="A93" s="192"/>
      <c r="B93" s="84"/>
      <c r="C93" s="84"/>
      <c r="D93" s="84"/>
      <c r="E93" s="84"/>
      <c r="F93" s="42"/>
      <c r="G93" s="84"/>
      <c r="H93" s="84"/>
      <c r="I93" s="84"/>
      <c r="J93" s="84"/>
      <c r="K93" s="84"/>
      <c r="L93" s="84"/>
      <c r="M93" s="84"/>
      <c r="N93" s="84"/>
      <c r="O93" s="84"/>
      <c r="P93" s="185"/>
    </row>
    <row r="94" spans="1:16">
      <c r="A94" s="192"/>
      <c r="B94" s="84"/>
      <c r="C94" s="84"/>
      <c r="D94" s="84"/>
      <c r="E94" s="84"/>
      <c r="F94" s="42"/>
      <c r="G94" s="84"/>
      <c r="H94" s="84"/>
      <c r="I94" s="84"/>
      <c r="J94" s="84"/>
      <c r="K94" s="84"/>
      <c r="L94" s="84"/>
      <c r="M94" s="84"/>
      <c r="N94" s="84"/>
      <c r="O94" s="84"/>
      <c r="P94" s="185"/>
    </row>
    <row r="95" spans="1:16">
      <c r="A95" s="192"/>
      <c r="B95" s="84"/>
      <c r="C95" s="84"/>
      <c r="D95" s="84"/>
      <c r="E95" s="84"/>
      <c r="F95" s="42"/>
      <c r="G95" s="84"/>
      <c r="H95" s="84"/>
      <c r="I95" s="84"/>
      <c r="J95" s="84"/>
      <c r="K95" s="84"/>
      <c r="L95" s="84"/>
      <c r="M95" s="84"/>
      <c r="N95" s="84"/>
      <c r="O95" s="84"/>
      <c r="P95" s="185"/>
    </row>
    <row r="96" spans="1:16">
      <c r="A96" s="192"/>
      <c r="B96" s="84"/>
      <c r="C96" s="84"/>
      <c r="D96" s="84"/>
      <c r="E96" s="84"/>
      <c r="F96" s="42"/>
      <c r="G96" s="84"/>
      <c r="H96" s="84"/>
      <c r="I96" s="84"/>
      <c r="J96" s="84"/>
      <c r="K96" s="84"/>
      <c r="L96" s="84"/>
      <c r="M96" s="84"/>
      <c r="N96" s="84"/>
      <c r="O96" s="84"/>
      <c r="P96" s="185"/>
    </row>
    <row r="97" spans="1:16">
      <c r="A97" s="192"/>
      <c r="B97" s="84"/>
      <c r="C97" s="84"/>
      <c r="D97" s="84"/>
      <c r="E97" s="84"/>
      <c r="F97" s="42"/>
      <c r="G97" s="84"/>
      <c r="H97" s="84"/>
      <c r="I97" s="84"/>
      <c r="J97" s="84"/>
      <c r="K97" s="84"/>
      <c r="L97" s="84"/>
      <c r="M97" s="84"/>
      <c r="N97" s="84"/>
      <c r="O97" s="84"/>
      <c r="P97" s="185"/>
    </row>
    <row r="98" spans="1:16">
      <c r="A98" s="192"/>
      <c r="B98" s="84"/>
      <c r="C98" s="84"/>
      <c r="D98" s="84"/>
      <c r="E98" s="84"/>
      <c r="F98" s="42"/>
      <c r="G98" s="84"/>
      <c r="H98" s="84"/>
      <c r="I98" s="84"/>
      <c r="J98" s="84"/>
      <c r="K98" s="84"/>
      <c r="L98" s="84"/>
      <c r="M98" s="84"/>
      <c r="N98" s="84"/>
      <c r="O98" s="84"/>
      <c r="P98" s="185"/>
    </row>
    <row r="99" spans="1:16">
      <c r="A99" s="192"/>
      <c r="B99" s="84"/>
      <c r="C99" s="84"/>
      <c r="D99" s="84"/>
      <c r="E99" s="84"/>
      <c r="F99" s="42"/>
      <c r="G99" s="84"/>
      <c r="H99" s="84"/>
      <c r="I99" s="84"/>
      <c r="J99" s="84"/>
      <c r="K99" s="84"/>
      <c r="L99" s="84"/>
      <c r="M99" s="84"/>
      <c r="N99" s="84"/>
      <c r="O99" s="84"/>
      <c r="P99" s="185"/>
    </row>
    <row r="100" spans="1:16">
      <c r="A100" s="192"/>
      <c r="B100" s="84"/>
      <c r="C100" s="84"/>
      <c r="D100" s="84"/>
      <c r="E100" s="84"/>
      <c r="F100" s="42"/>
      <c r="G100" s="84"/>
      <c r="H100" s="84"/>
      <c r="I100" s="84"/>
      <c r="J100" s="84"/>
      <c r="K100" s="84"/>
      <c r="L100" s="84"/>
      <c r="M100" s="84"/>
      <c r="N100" s="84"/>
      <c r="O100" s="84"/>
      <c r="P100" s="185"/>
    </row>
    <row r="101" spans="1:16">
      <c r="A101" s="192"/>
      <c r="B101" s="84"/>
      <c r="C101" s="84"/>
      <c r="D101" s="84"/>
      <c r="E101" s="84"/>
      <c r="F101" s="42"/>
      <c r="G101" s="84"/>
      <c r="H101" s="84"/>
      <c r="I101" s="84"/>
      <c r="J101" s="84"/>
      <c r="K101" s="84"/>
      <c r="L101" s="84"/>
      <c r="M101" s="84"/>
      <c r="N101" s="84"/>
      <c r="O101" s="84"/>
      <c r="P101" s="185"/>
    </row>
    <row r="102" spans="1:16">
      <c r="A102" s="192"/>
      <c r="B102" s="84"/>
      <c r="C102" s="84"/>
      <c r="D102" s="84"/>
      <c r="E102" s="84"/>
      <c r="F102" s="42"/>
      <c r="G102" s="84"/>
      <c r="H102" s="84"/>
      <c r="I102" s="84"/>
      <c r="J102" s="84"/>
      <c r="K102" s="84"/>
      <c r="L102" s="84"/>
      <c r="M102" s="84"/>
      <c r="N102" s="84"/>
      <c r="O102" s="84"/>
      <c r="P102" s="185"/>
    </row>
    <row r="103" spans="1:16">
      <c r="A103" s="192"/>
      <c r="B103" s="84"/>
      <c r="C103" s="84"/>
      <c r="D103" s="84"/>
      <c r="E103" s="84"/>
      <c r="F103" s="42"/>
      <c r="G103" s="84"/>
      <c r="H103" s="84"/>
      <c r="I103" s="84"/>
      <c r="J103" s="84"/>
      <c r="K103" s="84"/>
      <c r="L103" s="84"/>
      <c r="M103" s="84"/>
      <c r="N103" s="84"/>
      <c r="O103" s="84"/>
      <c r="P103" s="185"/>
    </row>
    <row r="104" spans="1:16">
      <c r="A104" s="192"/>
      <c r="B104" s="84"/>
      <c r="C104" s="84"/>
      <c r="D104" s="84"/>
      <c r="E104" s="84"/>
      <c r="F104" s="42"/>
      <c r="G104" s="84"/>
      <c r="H104" s="84"/>
      <c r="I104" s="84"/>
      <c r="J104" s="84"/>
      <c r="K104" s="84"/>
      <c r="L104" s="84"/>
      <c r="M104" s="84"/>
      <c r="N104" s="84"/>
      <c r="O104" s="84"/>
      <c r="P104" s="185"/>
    </row>
    <row r="105" spans="1:16">
      <c r="A105" s="192"/>
      <c r="B105" s="84"/>
      <c r="C105" s="84"/>
      <c r="D105" s="84"/>
      <c r="E105" s="84"/>
      <c r="F105" s="42"/>
      <c r="G105" s="84"/>
      <c r="H105" s="84"/>
      <c r="I105" s="84"/>
      <c r="J105" s="84"/>
      <c r="K105" s="84"/>
      <c r="L105" s="84"/>
      <c r="M105" s="84"/>
      <c r="N105" s="84"/>
      <c r="O105" s="84"/>
      <c r="P105" s="185"/>
    </row>
    <row r="106" spans="1:16">
      <c r="A106" s="192"/>
      <c r="B106" s="84"/>
      <c r="C106" s="84"/>
      <c r="D106" s="84"/>
      <c r="E106" s="84"/>
      <c r="F106" s="42"/>
      <c r="G106" s="84"/>
      <c r="H106" s="84"/>
      <c r="I106" s="84"/>
      <c r="J106" s="84"/>
      <c r="K106" s="84"/>
      <c r="L106" s="84"/>
      <c r="M106" s="84"/>
      <c r="N106" s="84"/>
      <c r="O106" s="84"/>
      <c r="P106" s="185"/>
    </row>
    <row r="107" spans="1:16">
      <c r="A107" s="192"/>
      <c r="B107" s="84"/>
      <c r="C107" s="84"/>
      <c r="D107" s="84"/>
      <c r="E107" s="84"/>
      <c r="F107" s="42"/>
      <c r="G107" s="84"/>
      <c r="H107" s="84"/>
      <c r="I107" s="84"/>
      <c r="J107" s="84"/>
      <c r="K107" s="84"/>
      <c r="L107" s="84"/>
      <c r="M107" s="84"/>
      <c r="N107" s="84"/>
      <c r="O107" s="84"/>
      <c r="P107" s="185"/>
    </row>
    <row r="108" spans="1:16">
      <c r="A108" s="192"/>
      <c r="B108" s="84"/>
      <c r="C108" s="84"/>
      <c r="D108" s="84"/>
      <c r="E108" s="84"/>
      <c r="F108" s="42"/>
      <c r="G108" s="84"/>
      <c r="H108" s="84"/>
      <c r="I108" s="84"/>
      <c r="J108" s="84"/>
      <c r="K108" s="84"/>
      <c r="L108" s="84"/>
      <c r="M108" s="84"/>
      <c r="N108" s="84"/>
      <c r="O108" s="84"/>
      <c r="P108" s="185"/>
    </row>
    <row r="109" spans="1:16">
      <c r="A109" s="192"/>
      <c r="B109" s="84"/>
      <c r="C109" s="84"/>
      <c r="D109" s="84"/>
      <c r="E109" s="84"/>
      <c r="F109" s="42"/>
      <c r="G109" s="84"/>
      <c r="H109" s="84"/>
      <c r="I109" s="84"/>
      <c r="J109" s="84"/>
      <c r="K109" s="84"/>
      <c r="L109" s="84"/>
      <c r="M109" s="84"/>
      <c r="N109" s="84"/>
      <c r="O109" s="84"/>
      <c r="P109" s="185"/>
    </row>
    <row r="110" spans="1:16">
      <c r="A110" s="192"/>
      <c r="B110" s="84"/>
      <c r="C110" s="84"/>
      <c r="D110" s="84"/>
      <c r="E110" s="84"/>
      <c r="F110" s="42"/>
      <c r="G110" s="84"/>
      <c r="H110" s="84"/>
      <c r="I110" s="84"/>
      <c r="J110" s="84"/>
      <c r="K110" s="84"/>
      <c r="L110" s="84"/>
      <c r="M110" s="84"/>
      <c r="N110" s="84"/>
      <c r="O110" s="84"/>
      <c r="P110" s="185"/>
    </row>
    <row r="111" spans="1:16">
      <c r="A111" s="192"/>
      <c r="B111" s="84"/>
      <c r="C111" s="84"/>
      <c r="D111" s="84"/>
      <c r="E111" s="84"/>
      <c r="F111" s="42"/>
      <c r="G111" s="84"/>
      <c r="H111" s="84"/>
      <c r="I111" s="84"/>
      <c r="J111" s="84"/>
      <c r="K111" s="84"/>
      <c r="L111" s="84"/>
      <c r="M111" s="84"/>
      <c r="N111" s="84"/>
      <c r="O111" s="84"/>
      <c r="P111" s="185"/>
    </row>
    <row r="112" spans="1:16">
      <c r="A112" s="192"/>
      <c r="B112" s="84"/>
      <c r="C112" s="84"/>
      <c r="D112" s="84"/>
      <c r="E112" s="84"/>
      <c r="F112" s="42"/>
      <c r="G112" s="84"/>
      <c r="H112" s="84"/>
      <c r="I112" s="84"/>
      <c r="J112" s="84"/>
      <c r="K112" s="84"/>
      <c r="L112" s="84"/>
      <c r="M112" s="84"/>
      <c r="N112" s="84"/>
      <c r="O112" s="84"/>
      <c r="P112" s="185"/>
    </row>
    <row r="113" spans="1:16">
      <c r="A113" s="192"/>
      <c r="B113" s="84"/>
      <c r="C113" s="84"/>
      <c r="D113" s="84"/>
      <c r="E113" s="84"/>
      <c r="F113" s="42"/>
      <c r="G113" s="84"/>
      <c r="H113" s="84"/>
      <c r="I113" s="84"/>
      <c r="J113" s="84"/>
      <c r="K113" s="84"/>
      <c r="L113" s="84"/>
      <c r="M113" s="84"/>
      <c r="N113" s="84"/>
      <c r="O113" s="84"/>
      <c r="P113" s="185"/>
    </row>
    <row r="114" spans="1:16">
      <c r="A114" s="192"/>
      <c r="B114" s="84"/>
      <c r="C114" s="84"/>
      <c r="D114" s="84"/>
      <c r="E114" s="84"/>
      <c r="F114" s="42"/>
      <c r="G114" s="84"/>
      <c r="H114" s="84"/>
      <c r="I114" s="84"/>
      <c r="J114" s="84"/>
      <c r="K114" s="84"/>
      <c r="L114" s="84"/>
      <c r="M114" s="84"/>
      <c r="N114" s="84"/>
      <c r="O114" s="84"/>
      <c r="P114" s="185"/>
    </row>
    <row r="115" spans="1:16">
      <c r="A115" s="192"/>
      <c r="B115" s="84"/>
      <c r="C115" s="84"/>
      <c r="D115" s="84"/>
      <c r="E115" s="84"/>
      <c r="F115" s="42"/>
      <c r="G115" s="84"/>
      <c r="H115" s="84"/>
      <c r="I115" s="84"/>
      <c r="J115" s="84"/>
      <c r="K115" s="84"/>
      <c r="L115" s="84"/>
      <c r="M115" s="84"/>
      <c r="N115" s="84"/>
      <c r="O115" s="84"/>
      <c r="P115" s="185"/>
    </row>
    <row r="116" spans="1:16">
      <c r="A116" s="192"/>
      <c r="B116" s="84"/>
      <c r="C116" s="84"/>
      <c r="D116" s="84"/>
      <c r="E116" s="84"/>
      <c r="F116" s="42"/>
      <c r="G116" s="84"/>
      <c r="H116" s="84"/>
      <c r="I116" s="84"/>
      <c r="J116" s="84"/>
      <c r="K116" s="84"/>
      <c r="L116" s="84"/>
      <c r="M116" s="84"/>
      <c r="N116" s="84"/>
      <c r="O116" s="84"/>
      <c r="P116" s="185"/>
    </row>
    <row r="117" spans="1:16">
      <c r="A117" s="192"/>
      <c r="B117" s="84"/>
      <c r="C117" s="84"/>
      <c r="D117" s="84"/>
      <c r="E117" s="84"/>
      <c r="F117" s="42"/>
      <c r="G117" s="84"/>
      <c r="H117" s="84"/>
      <c r="I117" s="84"/>
      <c r="J117" s="84"/>
      <c r="K117" s="84"/>
      <c r="L117" s="84"/>
      <c r="M117" s="84"/>
      <c r="N117" s="84"/>
      <c r="O117" s="84"/>
      <c r="P117" s="185"/>
    </row>
    <row r="118" spans="1:16">
      <c r="A118" s="192"/>
      <c r="B118" s="84"/>
      <c r="C118" s="84"/>
      <c r="D118" s="84"/>
      <c r="E118" s="84"/>
      <c r="F118" s="42"/>
      <c r="G118" s="84"/>
      <c r="H118" s="84"/>
      <c r="I118" s="84"/>
      <c r="J118" s="84"/>
      <c r="K118" s="84"/>
      <c r="L118" s="84"/>
      <c r="M118" s="84"/>
      <c r="N118" s="84"/>
      <c r="O118" s="84"/>
      <c r="P118" s="185"/>
    </row>
    <row r="119" spans="1:16">
      <c r="A119" s="192"/>
      <c r="B119" s="84"/>
      <c r="C119" s="84"/>
      <c r="D119" s="84"/>
      <c r="E119" s="84"/>
      <c r="F119" s="42"/>
      <c r="G119" s="84"/>
      <c r="H119" s="84"/>
      <c r="I119" s="84"/>
      <c r="J119" s="84"/>
      <c r="K119" s="84"/>
      <c r="L119" s="84"/>
      <c r="M119" s="84"/>
      <c r="N119" s="84"/>
      <c r="O119" s="84"/>
      <c r="P119" s="185"/>
    </row>
    <row r="120" spans="1:16">
      <c r="A120" s="192"/>
      <c r="B120" s="84"/>
      <c r="C120" s="84"/>
      <c r="D120" s="84"/>
      <c r="E120" s="84"/>
      <c r="F120" s="42"/>
      <c r="G120" s="84"/>
      <c r="H120" s="84"/>
      <c r="I120" s="84"/>
      <c r="J120" s="84"/>
      <c r="K120" s="84"/>
      <c r="L120" s="84"/>
      <c r="M120" s="84"/>
      <c r="N120" s="84"/>
      <c r="O120" s="84"/>
      <c r="P120" s="185"/>
    </row>
    <row r="121" spans="1:16">
      <c r="A121" s="192"/>
      <c r="B121" s="84"/>
      <c r="C121" s="84"/>
      <c r="D121" s="84"/>
      <c r="E121" s="84"/>
      <c r="F121" s="42"/>
      <c r="G121" s="84"/>
      <c r="H121" s="84"/>
      <c r="I121" s="84"/>
      <c r="J121" s="84"/>
      <c r="K121" s="84"/>
      <c r="L121" s="84"/>
      <c r="M121" s="84"/>
      <c r="N121" s="84"/>
      <c r="O121" s="84"/>
      <c r="P121" s="185"/>
    </row>
    <row r="122" spans="1:16">
      <c r="A122" s="192"/>
      <c r="B122" s="84"/>
      <c r="C122" s="84"/>
      <c r="D122" s="84"/>
      <c r="E122" s="84"/>
      <c r="F122" s="42"/>
      <c r="G122" s="84"/>
      <c r="H122" s="84"/>
      <c r="I122" s="84"/>
      <c r="J122" s="84"/>
      <c r="K122" s="84"/>
      <c r="L122" s="84"/>
      <c r="M122" s="84"/>
      <c r="N122" s="84"/>
      <c r="O122" s="84"/>
      <c r="P122" s="185"/>
    </row>
    <row r="123" spans="1:16">
      <c r="A123" s="192"/>
      <c r="B123" s="84"/>
      <c r="C123" s="84"/>
      <c r="D123" s="84"/>
      <c r="E123" s="84"/>
      <c r="F123" s="42"/>
      <c r="G123" s="84"/>
      <c r="H123" s="84"/>
      <c r="I123" s="84"/>
      <c r="J123" s="84"/>
      <c r="K123" s="84"/>
      <c r="L123" s="84"/>
      <c r="M123" s="84"/>
      <c r="N123" s="84"/>
      <c r="O123" s="84"/>
      <c r="P123" s="185"/>
    </row>
    <row r="124" spans="1:16">
      <c r="A124" s="192"/>
      <c r="B124" s="84"/>
      <c r="C124" s="84"/>
      <c r="D124" s="84"/>
      <c r="E124" s="84"/>
      <c r="F124" s="42"/>
      <c r="G124" s="84"/>
      <c r="H124" s="84"/>
      <c r="I124" s="84"/>
      <c r="J124" s="84"/>
      <c r="K124" s="84"/>
      <c r="L124" s="84"/>
      <c r="M124" s="84"/>
      <c r="N124" s="84"/>
      <c r="O124" s="84"/>
      <c r="P124" s="185"/>
    </row>
    <row r="125" spans="1:16">
      <c r="A125" s="192"/>
      <c r="B125" s="84"/>
      <c r="C125" s="84"/>
      <c r="D125" s="84"/>
      <c r="E125" s="84"/>
      <c r="F125" s="42"/>
      <c r="G125" s="84"/>
      <c r="H125" s="84"/>
      <c r="I125" s="84"/>
      <c r="J125" s="84"/>
      <c r="K125" s="84"/>
      <c r="L125" s="84"/>
      <c r="M125" s="84"/>
      <c r="N125" s="84"/>
      <c r="O125" s="84"/>
      <c r="P125" s="185"/>
    </row>
    <row r="126" spans="1:16">
      <c r="A126" s="192"/>
      <c r="B126" s="84"/>
      <c r="C126" s="84"/>
      <c r="D126" s="84"/>
      <c r="E126" s="84"/>
      <c r="F126" s="42"/>
      <c r="G126" s="84"/>
      <c r="H126" s="84"/>
      <c r="I126" s="84"/>
      <c r="J126" s="84"/>
      <c r="K126" s="84"/>
      <c r="L126" s="84"/>
      <c r="M126" s="84"/>
      <c r="N126" s="84"/>
      <c r="O126" s="84"/>
      <c r="P126" s="185"/>
    </row>
    <row r="127" spans="1:16">
      <c r="A127" s="192"/>
      <c r="B127" s="84"/>
      <c r="C127" s="84"/>
      <c r="D127" s="84"/>
      <c r="E127" s="84"/>
      <c r="F127" s="42"/>
      <c r="G127" s="84"/>
      <c r="H127" s="84"/>
      <c r="I127" s="84"/>
      <c r="J127" s="84"/>
      <c r="K127" s="84"/>
      <c r="L127" s="84"/>
      <c r="M127" s="84"/>
      <c r="N127" s="84"/>
      <c r="O127" s="84"/>
      <c r="P127" s="185"/>
    </row>
    <row r="128" spans="1:16">
      <c r="A128" s="192"/>
      <c r="B128" s="84"/>
      <c r="C128" s="84"/>
      <c r="D128" s="84"/>
      <c r="E128" s="84"/>
      <c r="F128" s="42"/>
      <c r="G128" s="84"/>
      <c r="H128" s="84"/>
      <c r="I128" s="84"/>
      <c r="J128" s="84"/>
      <c r="K128" s="84"/>
      <c r="L128" s="84"/>
      <c r="M128" s="84"/>
      <c r="N128" s="84"/>
      <c r="O128" s="84"/>
      <c r="P128" s="185"/>
    </row>
    <row r="129" spans="1:16" ht="15.75" thickBot="1">
      <c r="A129" s="193"/>
      <c r="B129" s="186"/>
      <c r="C129" s="186"/>
      <c r="D129" s="186"/>
      <c r="E129" s="186"/>
      <c r="F129" s="199"/>
      <c r="G129" s="186"/>
      <c r="H129" s="186"/>
      <c r="I129" s="186"/>
      <c r="J129" s="186"/>
      <c r="K129" s="186"/>
      <c r="L129" s="186"/>
      <c r="M129" s="186"/>
      <c r="N129" s="186"/>
      <c r="O129" s="186"/>
      <c r="P129" s="188"/>
    </row>
  </sheetData>
  <sheetProtection password="DD3D" sheet="1" objects="1" scenarios="1"/>
  <mergeCells count="1">
    <mergeCell ref="B2:D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btnRefreshAtAGlance">
          <controlPr defaultSize="0" autoLine="0" r:id="rId5">
            <anchor moveWithCells="1">
              <from>
                <xdr:col>0</xdr:col>
                <xdr:colOff>295275</xdr:colOff>
                <xdr:row>0</xdr:row>
                <xdr:rowOff>152400</xdr:rowOff>
              </from>
              <to>
                <xdr:col>0</xdr:col>
                <xdr:colOff>1266825</xdr:colOff>
                <xdr:row>2</xdr:row>
                <xdr:rowOff>57150</xdr:rowOff>
              </to>
            </anchor>
          </controlPr>
        </control>
      </mc:Choice>
      <mc:Fallback>
        <control shapeId="16385" r:id="rId4" name="btnRefreshAtAGlanc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-0.249977111117893"/>
  </sheetPr>
  <dimension ref="B1:Y33"/>
  <sheetViews>
    <sheetView zoomScaleNormal="100" workbookViewId="0">
      <selection activeCell="W31" sqref="W31"/>
    </sheetView>
  </sheetViews>
  <sheetFormatPr defaultRowHeight="15"/>
  <cols>
    <col min="1" max="1" width="1.7109375" style="1" customWidth="1"/>
    <col min="2" max="2" width="4" style="1" customWidth="1"/>
    <col min="3" max="3" width="18.28515625" style="1" customWidth="1"/>
    <col min="4" max="4" width="18.28515625" style="37" customWidth="1"/>
    <col min="5" max="5" width="1.7109375" style="3" customWidth="1"/>
    <col min="6" max="6" width="1.7109375" style="1" customWidth="1"/>
    <col min="7" max="8" width="7.7109375" style="3" customWidth="1"/>
    <col min="9" max="9" width="7.7109375" style="6" customWidth="1"/>
    <col min="10" max="10" width="1.7109375" style="1" customWidth="1"/>
    <col min="11" max="11" width="25.7109375" style="37" customWidth="1"/>
    <col min="12" max="12" width="1.7109375" style="1" customWidth="1"/>
    <col min="13" max="13" width="8.28515625" style="3" customWidth="1"/>
    <col min="14" max="14" width="4.42578125" style="125" customWidth="1"/>
    <col min="15" max="15" width="8.28515625" style="3" customWidth="1"/>
    <col min="16" max="16" width="4.42578125" style="125" customWidth="1"/>
    <col min="17" max="17" width="8.28515625" style="3" customWidth="1"/>
    <col min="18" max="18" width="4.42578125" style="125" customWidth="1"/>
    <col min="19" max="19" width="8.28515625" style="3" customWidth="1"/>
    <col min="20" max="20" width="4.42578125" style="125" customWidth="1"/>
    <col min="21" max="21" width="1.7109375" style="144" customWidth="1"/>
    <col min="22" max="22" width="1.7109375" style="1" customWidth="1"/>
    <col min="23" max="23" width="60.7109375" style="37" customWidth="1"/>
    <col min="24" max="24" width="1.7109375" style="1" customWidth="1"/>
    <col min="25" max="25" width="35.7109375" style="1" customWidth="1"/>
    <col min="26" max="16384" width="9.140625" style="1"/>
  </cols>
  <sheetData>
    <row r="1" spans="2:25">
      <c r="D1" s="117"/>
    </row>
    <row r="2" spans="2:25">
      <c r="C2" s="24" t="s">
        <v>136</v>
      </c>
      <c r="D2" s="224"/>
    </row>
    <row r="3" spans="2:25">
      <c r="D3" s="38"/>
    </row>
    <row r="4" spans="2:25" ht="15.75" thickBot="1">
      <c r="C4" s="24"/>
      <c r="D4" s="118"/>
      <c r="G4" s="137" t="s">
        <v>446</v>
      </c>
      <c r="H4" s="137" t="s">
        <v>446</v>
      </c>
      <c r="K4" s="247"/>
    </row>
    <row r="5" spans="2:25" ht="15.75" thickBot="1">
      <c r="G5" s="320" t="s">
        <v>59</v>
      </c>
      <c r="H5" s="321"/>
      <c r="I5" s="40"/>
      <c r="M5" s="135" t="s">
        <v>150</v>
      </c>
      <c r="N5" s="136" t="s">
        <v>151</v>
      </c>
      <c r="O5" s="135" t="s">
        <v>150</v>
      </c>
      <c r="P5" s="136" t="s">
        <v>151</v>
      </c>
      <c r="Q5" s="135" t="s">
        <v>150</v>
      </c>
      <c r="R5" s="136" t="s">
        <v>151</v>
      </c>
      <c r="S5" s="135" t="s">
        <v>150</v>
      </c>
      <c r="T5" s="136" t="s">
        <v>151</v>
      </c>
      <c r="U5" s="145"/>
    </row>
    <row r="6" spans="2:25" ht="15.75" thickBot="1">
      <c r="C6" s="328" t="s">
        <v>55</v>
      </c>
      <c r="D6" s="328"/>
      <c r="E6" s="122"/>
      <c r="F6" s="35"/>
      <c r="G6" s="63" t="s">
        <v>57</v>
      </c>
      <c r="H6" s="65" t="s">
        <v>58</v>
      </c>
      <c r="I6" s="40"/>
      <c r="K6" s="4" t="s">
        <v>56</v>
      </c>
      <c r="L6" s="3"/>
      <c r="M6" s="14" t="s">
        <v>7</v>
      </c>
      <c r="N6" s="153" t="s">
        <v>154</v>
      </c>
      <c r="O6" s="14" t="s">
        <v>7</v>
      </c>
      <c r="P6" s="152" t="s">
        <v>154</v>
      </c>
      <c r="Q6" s="14" t="s">
        <v>7</v>
      </c>
      <c r="R6" s="152" t="s">
        <v>154</v>
      </c>
      <c r="S6" s="14" t="s">
        <v>7</v>
      </c>
      <c r="T6" s="152" t="s">
        <v>154</v>
      </c>
      <c r="U6" s="64"/>
      <c r="W6" s="4" t="s">
        <v>60</v>
      </c>
    </row>
    <row r="7" spans="2:25">
      <c r="B7" s="3">
        <v>1</v>
      </c>
      <c r="C7" s="322"/>
      <c r="D7" s="323"/>
      <c r="E7" s="124"/>
      <c r="F7" s="110"/>
      <c r="G7" s="342" t="s">
        <v>62</v>
      </c>
      <c r="H7" s="343" t="s">
        <v>62</v>
      </c>
      <c r="I7" s="344"/>
      <c r="J7" s="7"/>
      <c r="K7" s="345" t="s">
        <v>62</v>
      </c>
      <c r="L7" s="7"/>
      <c r="M7" s="342" t="s">
        <v>62</v>
      </c>
      <c r="N7" s="346"/>
      <c r="O7" s="342" t="s">
        <v>62</v>
      </c>
      <c r="P7" s="347"/>
      <c r="Q7" s="342" t="s">
        <v>62</v>
      </c>
      <c r="R7" s="347"/>
      <c r="S7" s="342" t="s">
        <v>62</v>
      </c>
      <c r="T7" s="348"/>
      <c r="U7" s="62"/>
      <c r="V7" s="7"/>
      <c r="W7" s="345" t="s">
        <v>62</v>
      </c>
      <c r="Y7" s="1" t="str">
        <f>IF(C7&lt;&gt;"",C7,"")</f>
        <v/>
      </c>
    </row>
    <row r="8" spans="2:25">
      <c r="B8" s="3">
        <v>2</v>
      </c>
      <c r="C8" s="324"/>
      <c r="D8" s="325"/>
      <c r="E8" s="124"/>
      <c r="F8" s="110"/>
      <c r="G8" s="349" t="s">
        <v>62</v>
      </c>
      <c r="H8" s="350" t="s">
        <v>62</v>
      </c>
      <c r="I8" s="344"/>
      <c r="J8" s="7"/>
      <c r="K8" s="351" t="s">
        <v>62</v>
      </c>
      <c r="L8" s="7"/>
      <c r="M8" s="349" t="s">
        <v>62</v>
      </c>
      <c r="N8" s="352"/>
      <c r="O8" s="349" t="s">
        <v>62</v>
      </c>
      <c r="P8" s="352"/>
      <c r="Q8" s="349" t="s">
        <v>62</v>
      </c>
      <c r="R8" s="353"/>
      <c r="S8" s="349" t="s">
        <v>62</v>
      </c>
      <c r="T8" s="354"/>
      <c r="U8" s="62"/>
      <c r="V8" s="7"/>
      <c r="W8" s="351" t="s">
        <v>62</v>
      </c>
      <c r="Y8" s="1" t="str">
        <f t="shared" ref="Y8:Y31" si="0">IF(C8&lt;&gt;"",C8,"")</f>
        <v/>
      </c>
    </row>
    <row r="9" spans="2:25">
      <c r="B9" s="3">
        <v>3</v>
      </c>
      <c r="C9" s="324"/>
      <c r="D9" s="325"/>
      <c r="E9" s="124"/>
      <c r="F9" s="110"/>
      <c r="G9" s="349" t="s">
        <v>62</v>
      </c>
      <c r="H9" s="350" t="s">
        <v>62</v>
      </c>
      <c r="I9" s="344"/>
      <c r="J9" s="7"/>
      <c r="K9" s="351" t="s">
        <v>62</v>
      </c>
      <c r="L9" s="7"/>
      <c r="M9" s="349" t="s">
        <v>62</v>
      </c>
      <c r="N9" s="353"/>
      <c r="O9" s="349" t="s">
        <v>62</v>
      </c>
      <c r="P9" s="353"/>
      <c r="Q9" s="349" t="s">
        <v>62</v>
      </c>
      <c r="R9" s="353"/>
      <c r="S9" s="349" t="s">
        <v>62</v>
      </c>
      <c r="T9" s="354"/>
      <c r="U9" s="62"/>
      <c r="V9" s="7"/>
      <c r="W9" s="351" t="s">
        <v>62</v>
      </c>
      <c r="Y9" s="1" t="str">
        <f t="shared" si="0"/>
        <v/>
      </c>
    </row>
    <row r="10" spans="2:25">
      <c r="B10" s="3">
        <v>4</v>
      </c>
      <c r="C10" s="324"/>
      <c r="D10" s="325"/>
      <c r="E10" s="124"/>
      <c r="F10" s="110"/>
      <c r="G10" s="349" t="s">
        <v>62</v>
      </c>
      <c r="H10" s="350" t="s">
        <v>62</v>
      </c>
      <c r="I10" s="344"/>
      <c r="J10" s="7"/>
      <c r="K10" s="351" t="s">
        <v>62</v>
      </c>
      <c r="L10" s="7"/>
      <c r="M10" s="349" t="s">
        <v>62</v>
      </c>
      <c r="N10" s="352"/>
      <c r="O10" s="349" t="s">
        <v>62</v>
      </c>
      <c r="P10" s="352"/>
      <c r="Q10" s="349" t="s">
        <v>62</v>
      </c>
      <c r="R10" s="352"/>
      <c r="S10" s="349" t="s">
        <v>62</v>
      </c>
      <c r="T10" s="354"/>
      <c r="U10" s="62"/>
      <c r="V10" s="7"/>
      <c r="W10" s="351" t="s">
        <v>62</v>
      </c>
      <c r="Y10" s="1" t="str">
        <f t="shared" si="0"/>
        <v/>
      </c>
    </row>
    <row r="11" spans="2:25">
      <c r="B11" s="3">
        <v>5</v>
      </c>
      <c r="C11" s="324"/>
      <c r="D11" s="325"/>
      <c r="E11" s="124"/>
      <c r="F11" s="110"/>
      <c r="G11" s="349" t="s">
        <v>62</v>
      </c>
      <c r="H11" s="350" t="s">
        <v>62</v>
      </c>
      <c r="I11" s="344"/>
      <c r="J11" s="7"/>
      <c r="K11" s="351" t="s">
        <v>62</v>
      </c>
      <c r="L11" s="7"/>
      <c r="M11" s="349" t="s">
        <v>62</v>
      </c>
      <c r="N11" s="352"/>
      <c r="O11" s="349" t="s">
        <v>62</v>
      </c>
      <c r="P11" s="353"/>
      <c r="Q11" s="349" t="s">
        <v>62</v>
      </c>
      <c r="R11" s="353"/>
      <c r="S11" s="349" t="s">
        <v>62</v>
      </c>
      <c r="T11" s="354"/>
      <c r="U11" s="62"/>
      <c r="V11" s="7"/>
      <c r="W11" s="351" t="s">
        <v>62</v>
      </c>
      <c r="Y11" s="1" t="str">
        <f t="shared" si="0"/>
        <v/>
      </c>
    </row>
    <row r="12" spans="2:25">
      <c r="B12" s="3">
        <v>6</v>
      </c>
      <c r="C12" s="324"/>
      <c r="D12" s="325"/>
      <c r="E12" s="124"/>
      <c r="F12" s="110"/>
      <c r="G12" s="349" t="s">
        <v>62</v>
      </c>
      <c r="H12" s="350" t="s">
        <v>62</v>
      </c>
      <c r="I12" s="344"/>
      <c r="J12" s="7"/>
      <c r="K12" s="351" t="s">
        <v>62</v>
      </c>
      <c r="L12" s="7"/>
      <c r="M12" s="349" t="s">
        <v>62</v>
      </c>
      <c r="N12" s="352"/>
      <c r="O12" s="349" t="s">
        <v>62</v>
      </c>
      <c r="P12" s="353"/>
      <c r="Q12" s="349" t="s">
        <v>62</v>
      </c>
      <c r="R12" s="353"/>
      <c r="S12" s="349" t="s">
        <v>62</v>
      </c>
      <c r="T12" s="354"/>
      <c r="U12" s="62"/>
      <c r="V12" s="7"/>
      <c r="W12" s="351" t="s">
        <v>62</v>
      </c>
      <c r="Y12" s="1" t="str">
        <f t="shared" si="0"/>
        <v/>
      </c>
    </row>
    <row r="13" spans="2:25">
      <c r="B13" s="3">
        <v>7</v>
      </c>
      <c r="C13" s="324"/>
      <c r="D13" s="325"/>
      <c r="E13" s="124"/>
      <c r="F13" s="110"/>
      <c r="G13" s="349" t="s">
        <v>62</v>
      </c>
      <c r="H13" s="350" t="s">
        <v>62</v>
      </c>
      <c r="I13" s="355"/>
      <c r="J13" s="7"/>
      <c r="K13" s="351" t="s">
        <v>62</v>
      </c>
      <c r="L13" s="7"/>
      <c r="M13" s="349" t="s">
        <v>62</v>
      </c>
      <c r="N13" s="352"/>
      <c r="O13" s="349" t="s">
        <v>62</v>
      </c>
      <c r="P13" s="353"/>
      <c r="Q13" s="349" t="s">
        <v>62</v>
      </c>
      <c r="R13" s="353"/>
      <c r="S13" s="349" t="s">
        <v>62</v>
      </c>
      <c r="T13" s="354"/>
      <c r="U13" s="62"/>
      <c r="V13" s="7"/>
      <c r="W13" s="351" t="s">
        <v>62</v>
      </c>
      <c r="Y13" s="1" t="str">
        <f t="shared" si="0"/>
        <v/>
      </c>
    </row>
    <row r="14" spans="2:25">
      <c r="B14" s="3">
        <v>8</v>
      </c>
      <c r="C14" s="324"/>
      <c r="D14" s="325"/>
      <c r="E14" s="124"/>
      <c r="F14" s="110"/>
      <c r="G14" s="349" t="s">
        <v>62</v>
      </c>
      <c r="H14" s="350" t="s">
        <v>62</v>
      </c>
      <c r="I14" s="344"/>
      <c r="J14" s="7"/>
      <c r="K14" s="351" t="s">
        <v>62</v>
      </c>
      <c r="L14" s="7"/>
      <c r="M14" s="349" t="s">
        <v>62</v>
      </c>
      <c r="N14" s="352"/>
      <c r="O14" s="349" t="s">
        <v>62</v>
      </c>
      <c r="P14" s="353"/>
      <c r="Q14" s="349" t="s">
        <v>62</v>
      </c>
      <c r="R14" s="353"/>
      <c r="S14" s="349" t="s">
        <v>62</v>
      </c>
      <c r="T14" s="354"/>
      <c r="U14" s="62"/>
      <c r="V14" s="7"/>
      <c r="W14" s="351" t="s">
        <v>62</v>
      </c>
      <c r="Y14" s="1" t="str">
        <f t="shared" si="0"/>
        <v/>
      </c>
    </row>
    <row r="15" spans="2:25">
      <c r="B15" s="3">
        <v>9</v>
      </c>
      <c r="C15" s="324"/>
      <c r="D15" s="325"/>
      <c r="E15" s="124"/>
      <c r="F15" s="110"/>
      <c r="G15" s="349" t="s">
        <v>62</v>
      </c>
      <c r="H15" s="350" t="s">
        <v>62</v>
      </c>
      <c r="I15" s="344"/>
      <c r="J15" s="7"/>
      <c r="K15" s="351" t="s">
        <v>62</v>
      </c>
      <c r="L15" s="7"/>
      <c r="M15" s="349" t="s">
        <v>62</v>
      </c>
      <c r="N15" s="352"/>
      <c r="O15" s="349" t="s">
        <v>62</v>
      </c>
      <c r="P15" s="353"/>
      <c r="Q15" s="349" t="s">
        <v>62</v>
      </c>
      <c r="R15" s="353"/>
      <c r="S15" s="349" t="s">
        <v>62</v>
      </c>
      <c r="T15" s="354"/>
      <c r="U15" s="62"/>
      <c r="V15" s="7"/>
      <c r="W15" s="351" t="s">
        <v>62</v>
      </c>
      <c r="Y15" s="1" t="str">
        <f t="shared" si="0"/>
        <v/>
      </c>
    </row>
    <row r="16" spans="2:25">
      <c r="B16" s="3">
        <v>10</v>
      </c>
      <c r="C16" s="324"/>
      <c r="D16" s="325"/>
      <c r="E16" s="124"/>
      <c r="F16" s="110"/>
      <c r="G16" s="349" t="s">
        <v>62</v>
      </c>
      <c r="H16" s="350" t="s">
        <v>62</v>
      </c>
      <c r="I16" s="344"/>
      <c r="J16" s="7"/>
      <c r="K16" s="351" t="s">
        <v>62</v>
      </c>
      <c r="L16" s="7"/>
      <c r="M16" s="349" t="s">
        <v>62</v>
      </c>
      <c r="N16" s="352"/>
      <c r="O16" s="349" t="s">
        <v>62</v>
      </c>
      <c r="P16" s="352"/>
      <c r="Q16" s="349" t="s">
        <v>62</v>
      </c>
      <c r="R16" s="352"/>
      <c r="S16" s="356" t="s">
        <v>62</v>
      </c>
      <c r="T16" s="354"/>
      <c r="U16" s="62"/>
      <c r="V16" s="7"/>
      <c r="W16" s="351" t="s">
        <v>62</v>
      </c>
      <c r="Y16" s="1" t="str">
        <f t="shared" si="0"/>
        <v/>
      </c>
    </row>
    <row r="17" spans="2:25">
      <c r="B17" s="3">
        <v>11</v>
      </c>
      <c r="C17" s="324"/>
      <c r="D17" s="325"/>
      <c r="E17" s="124"/>
      <c r="F17" s="110"/>
      <c r="G17" s="349" t="s">
        <v>62</v>
      </c>
      <c r="H17" s="350" t="s">
        <v>62</v>
      </c>
      <c r="I17" s="344"/>
      <c r="J17" s="7"/>
      <c r="K17" s="351" t="s">
        <v>62</v>
      </c>
      <c r="L17" s="7"/>
      <c r="M17" s="349" t="s">
        <v>62</v>
      </c>
      <c r="N17" s="352"/>
      <c r="O17" s="349" t="s">
        <v>62</v>
      </c>
      <c r="P17" s="353"/>
      <c r="Q17" s="349" t="s">
        <v>62</v>
      </c>
      <c r="R17" s="353"/>
      <c r="S17" s="356" t="s">
        <v>62</v>
      </c>
      <c r="T17" s="354"/>
      <c r="U17" s="62"/>
      <c r="V17" s="7"/>
      <c r="W17" s="351" t="s">
        <v>62</v>
      </c>
      <c r="Y17" s="1" t="str">
        <f t="shared" si="0"/>
        <v/>
      </c>
    </row>
    <row r="18" spans="2:25">
      <c r="B18" s="3">
        <v>12</v>
      </c>
      <c r="C18" s="324"/>
      <c r="D18" s="325"/>
      <c r="E18" s="124"/>
      <c r="F18" s="110"/>
      <c r="G18" s="349" t="s">
        <v>62</v>
      </c>
      <c r="H18" s="350" t="s">
        <v>62</v>
      </c>
      <c r="I18" s="344"/>
      <c r="J18" s="7"/>
      <c r="K18" s="351" t="s">
        <v>62</v>
      </c>
      <c r="L18" s="7"/>
      <c r="M18" s="349" t="s">
        <v>62</v>
      </c>
      <c r="N18" s="352"/>
      <c r="O18" s="349" t="s">
        <v>62</v>
      </c>
      <c r="P18" s="352"/>
      <c r="Q18" s="349" t="s">
        <v>62</v>
      </c>
      <c r="R18" s="352"/>
      <c r="S18" s="356" t="s">
        <v>62</v>
      </c>
      <c r="T18" s="354"/>
      <c r="U18" s="62"/>
      <c r="V18" s="7"/>
      <c r="W18" s="351" t="s">
        <v>62</v>
      </c>
      <c r="Y18" s="1" t="str">
        <f t="shared" si="0"/>
        <v/>
      </c>
    </row>
    <row r="19" spans="2:25">
      <c r="B19" s="3">
        <v>13</v>
      </c>
      <c r="C19" s="324"/>
      <c r="D19" s="325"/>
      <c r="E19" s="124"/>
      <c r="F19" s="110"/>
      <c r="G19" s="349" t="s">
        <v>62</v>
      </c>
      <c r="H19" s="350" t="s">
        <v>62</v>
      </c>
      <c r="I19" s="344"/>
      <c r="J19" s="7"/>
      <c r="K19" s="351" t="s">
        <v>62</v>
      </c>
      <c r="L19" s="7"/>
      <c r="M19" s="349" t="s">
        <v>62</v>
      </c>
      <c r="N19" s="352"/>
      <c r="O19" s="349" t="s">
        <v>62</v>
      </c>
      <c r="P19" s="353"/>
      <c r="Q19" s="349" t="s">
        <v>62</v>
      </c>
      <c r="R19" s="353"/>
      <c r="S19" s="356" t="s">
        <v>62</v>
      </c>
      <c r="T19" s="354"/>
      <c r="U19" s="62"/>
      <c r="V19" s="7"/>
      <c r="W19" s="351" t="s">
        <v>62</v>
      </c>
      <c r="Y19" s="1" t="str">
        <f t="shared" si="0"/>
        <v/>
      </c>
    </row>
    <row r="20" spans="2:25">
      <c r="B20" s="3">
        <v>14</v>
      </c>
      <c r="C20" s="324"/>
      <c r="D20" s="325"/>
      <c r="E20" s="124"/>
      <c r="F20" s="110"/>
      <c r="G20" s="349" t="s">
        <v>62</v>
      </c>
      <c r="H20" s="350" t="s">
        <v>62</v>
      </c>
      <c r="I20" s="344"/>
      <c r="J20" s="7"/>
      <c r="K20" s="351" t="s">
        <v>62</v>
      </c>
      <c r="L20" s="7"/>
      <c r="M20" s="349" t="s">
        <v>62</v>
      </c>
      <c r="N20" s="353"/>
      <c r="O20" s="349" t="s">
        <v>62</v>
      </c>
      <c r="P20" s="353"/>
      <c r="Q20" s="349" t="s">
        <v>62</v>
      </c>
      <c r="R20" s="353"/>
      <c r="S20" s="356" t="s">
        <v>62</v>
      </c>
      <c r="T20" s="354"/>
      <c r="U20" s="62"/>
      <c r="V20" s="7"/>
      <c r="W20" s="351" t="s">
        <v>62</v>
      </c>
      <c r="Y20" s="1" t="str">
        <f t="shared" si="0"/>
        <v/>
      </c>
    </row>
    <row r="21" spans="2:25">
      <c r="B21" s="3">
        <v>15</v>
      </c>
      <c r="C21" s="324"/>
      <c r="D21" s="325"/>
      <c r="E21" s="124"/>
      <c r="F21" s="110"/>
      <c r="G21" s="349" t="s">
        <v>62</v>
      </c>
      <c r="H21" s="350" t="s">
        <v>62</v>
      </c>
      <c r="I21" s="344"/>
      <c r="J21" s="7"/>
      <c r="K21" s="351" t="s">
        <v>62</v>
      </c>
      <c r="L21" s="7"/>
      <c r="M21" s="349" t="s">
        <v>62</v>
      </c>
      <c r="N21" s="353"/>
      <c r="O21" s="349" t="s">
        <v>62</v>
      </c>
      <c r="P21" s="352"/>
      <c r="Q21" s="349" t="s">
        <v>62</v>
      </c>
      <c r="R21" s="353"/>
      <c r="S21" s="356" t="s">
        <v>62</v>
      </c>
      <c r="T21" s="354"/>
      <c r="U21" s="62"/>
      <c r="V21" s="7"/>
      <c r="W21" s="351" t="s">
        <v>62</v>
      </c>
      <c r="Y21" s="1" t="str">
        <f t="shared" si="0"/>
        <v/>
      </c>
    </row>
    <row r="22" spans="2:25">
      <c r="B22" s="3">
        <v>16</v>
      </c>
      <c r="C22" s="324"/>
      <c r="D22" s="325"/>
      <c r="E22" s="124"/>
      <c r="F22" s="110"/>
      <c r="G22" s="349" t="s">
        <v>62</v>
      </c>
      <c r="H22" s="350" t="s">
        <v>62</v>
      </c>
      <c r="I22" s="344"/>
      <c r="J22" s="7"/>
      <c r="K22" s="351" t="s">
        <v>62</v>
      </c>
      <c r="L22" s="7"/>
      <c r="M22" s="349" t="s">
        <v>62</v>
      </c>
      <c r="N22" s="353"/>
      <c r="O22" s="356" t="s">
        <v>62</v>
      </c>
      <c r="P22" s="353"/>
      <c r="Q22" s="356" t="s">
        <v>62</v>
      </c>
      <c r="R22" s="353"/>
      <c r="S22" s="356" t="s">
        <v>62</v>
      </c>
      <c r="T22" s="354"/>
      <c r="U22" s="62"/>
      <c r="V22" s="7"/>
      <c r="W22" s="351" t="s">
        <v>62</v>
      </c>
      <c r="Y22" s="1" t="str">
        <f t="shared" si="0"/>
        <v/>
      </c>
    </row>
    <row r="23" spans="2:25">
      <c r="B23" s="3">
        <v>17</v>
      </c>
      <c r="C23" s="324"/>
      <c r="D23" s="325"/>
      <c r="E23" s="124"/>
      <c r="F23" s="110"/>
      <c r="G23" s="349" t="s">
        <v>62</v>
      </c>
      <c r="H23" s="350" t="s">
        <v>62</v>
      </c>
      <c r="I23" s="344"/>
      <c r="J23" s="7"/>
      <c r="K23" s="351" t="s">
        <v>62</v>
      </c>
      <c r="L23" s="7"/>
      <c r="M23" s="349" t="s">
        <v>62</v>
      </c>
      <c r="N23" s="353"/>
      <c r="O23" s="356" t="s">
        <v>62</v>
      </c>
      <c r="P23" s="353"/>
      <c r="Q23" s="356" t="s">
        <v>62</v>
      </c>
      <c r="R23" s="353"/>
      <c r="S23" s="356" t="s">
        <v>62</v>
      </c>
      <c r="T23" s="354"/>
      <c r="U23" s="62"/>
      <c r="V23" s="7"/>
      <c r="W23" s="351" t="s">
        <v>62</v>
      </c>
      <c r="Y23" s="1" t="str">
        <f t="shared" si="0"/>
        <v/>
      </c>
    </row>
    <row r="24" spans="2:25">
      <c r="B24" s="3">
        <v>18</v>
      </c>
      <c r="C24" s="324"/>
      <c r="D24" s="325"/>
      <c r="E24" s="124"/>
      <c r="F24" s="110"/>
      <c r="G24" s="349" t="s">
        <v>62</v>
      </c>
      <c r="H24" s="350" t="s">
        <v>62</v>
      </c>
      <c r="I24" s="344"/>
      <c r="J24" s="7"/>
      <c r="K24" s="351" t="s">
        <v>62</v>
      </c>
      <c r="L24" s="7"/>
      <c r="M24" s="349" t="s">
        <v>62</v>
      </c>
      <c r="N24" s="353"/>
      <c r="O24" s="349" t="s">
        <v>62</v>
      </c>
      <c r="P24" s="353"/>
      <c r="Q24" s="349" t="s">
        <v>62</v>
      </c>
      <c r="R24" s="353"/>
      <c r="S24" s="356" t="s">
        <v>62</v>
      </c>
      <c r="T24" s="354"/>
      <c r="U24" s="62"/>
      <c r="V24" s="7"/>
      <c r="W24" s="351" t="s">
        <v>62</v>
      </c>
      <c r="Y24" s="1" t="str">
        <f t="shared" si="0"/>
        <v/>
      </c>
    </row>
    <row r="25" spans="2:25">
      <c r="B25" s="3">
        <v>19</v>
      </c>
      <c r="C25" s="324"/>
      <c r="D25" s="325"/>
      <c r="E25" s="124"/>
      <c r="F25" s="110"/>
      <c r="G25" s="349" t="s">
        <v>62</v>
      </c>
      <c r="H25" s="350" t="s">
        <v>62</v>
      </c>
      <c r="I25" s="344"/>
      <c r="J25" s="7"/>
      <c r="K25" s="351" t="s">
        <v>62</v>
      </c>
      <c r="L25" s="7"/>
      <c r="M25" s="349" t="s">
        <v>62</v>
      </c>
      <c r="N25" s="353"/>
      <c r="O25" s="349" t="s">
        <v>62</v>
      </c>
      <c r="P25" s="353"/>
      <c r="Q25" s="356" t="s">
        <v>62</v>
      </c>
      <c r="R25" s="353"/>
      <c r="S25" s="356" t="s">
        <v>62</v>
      </c>
      <c r="T25" s="354"/>
      <c r="U25" s="62"/>
      <c r="V25" s="7"/>
      <c r="W25" s="351" t="s">
        <v>62</v>
      </c>
      <c r="Y25" s="1" t="str">
        <f t="shared" si="0"/>
        <v/>
      </c>
    </row>
    <row r="26" spans="2:25">
      <c r="B26" s="3">
        <v>20</v>
      </c>
      <c r="C26" s="324"/>
      <c r="D26" s="325"/>
      <c r="E26" s="124"/>
      <c r="F26" s="110"/>
      <c r="G26" s="349" t="s">
        <v>62</v>
      </c>
      <c r="H26" s="350" t="s">
        <v>62</v>
      </c>
      <c r="I26" s="344"/>
      <c r="J26" s="7"/>
      <c r="K26" s="351" t="s">
        <v>62</v>
      </c>
      <c r="L26" s="7"/>
      <c r="M26" s="349" t="s">
        <v>62</v>
      </c>
      <c r="N26" s="353"/>
      <c r="O26" s="349" t="s">
        <v>62</v>
      </c>
      <c r="P26" s="353"/>
      <c r="Q26" s="349" t="s">
        <v>62</v>
      </c>
      <c r="R26" s="353"/>
      <c r="S26" s="356" t="s">
        <v>62</v>
      </c>
      <c r="T26" s="354"/>
      <c r="U26" s="62"/>
      <c r="V26" s="7"/>
      <c r="W26" s="351" t="s">
        <v>62</v>
      </c>
      <c r="Y26" s="1" t="str">
        <f t="shared" si="0"/>
        <v/>
      </c>
    </row>
    <row r="27" spans="2:25">
      <c r="B27" s="3">
        <v>21</v>
      </c>
      <c r="C27" s="324"/>
      <c r="D27" s="325"/>
      <c r="E27" s="124"/>
      <c r="F27" s="110"/>
      <c r="G27" s="349" t="s">
        <v>62</v>
      </c>
      <c r="H27" s="350" t="s">
        <v>62</v>
      </c>
      <c r="I27" s="344"/>
      <c r="J27" s="7"/>
      <c r="K27" s="351" t="s">
        <v>62</v>
      </c>
      <c r="L27" s="7"/>
      <c r="M27" s="349" t="s">
        <v>62</v>
      </c>
      <c r="N27" s="353"/>
      <c r="O27" s="349" t="s">
        <v>62</v>
      </c>
      <c r="P27" s="353"/>
      <c r="Q27" s="349" t="s">
        <v>62</v>
      </c>
      <c r="R27" s="353"/>
      <c r="S27" s="356" t="s">
        <v>62</v>
      </c>
      <c r="T27" s="354"/>
      <c r="U27" s="62"/>
      <c r="V27" s="7"/>
      <c r="W27" s="351" t="s">
        <v>62</v>
      </c>
      <c r="Y27" s="1" t="str">
        <f t="shared" si="0"/>
        <v/>
      </c>
    </row>
    <row r="28" spans="2:25">
      <c r="B28" s="3">
        <v>22</v>
      </c>
      <c r="C28" s="324"/>
      <c r="D28" s="325"/>
      <c r="E28" s="124"/>
      <c r="F28" s="110"/>
      <c r="G28" s="349" t="s">
        <v>62</v>
      </c>
      <c r="H28" s="350" t="s">
        <v>62</v>
      </c>
      <c r="I28" s="344"/>
      <c r="J28" s="7"/>
      <c r="K28" s="351" t="s">
        <v>62</v>
      </c>
      <c r="L28" s="7"/>
      <c r="M28" s="349" t="s">
        <v>62</v>
      </c>
      <c r="N28" s="353"/>
      <c r="O28" s="349" t="s">
        <v>62</v>
      </c>
      <c r="P28" s="353"/>
      <c r="Q28" s="349" t="s">
        <v>62</v>
      </c>
      <c r="R28" s="353"/>
      <c r="S28" s="356" t="s">
        <v>62</v>
      </c>
      <c r="T28" s="354"/>
      <c r="U28" s="62"/>
      <c r="V28" s="7"/>
      <c r="W28" s="351" t="s">
        <v>62</v>
      </c>
      <c r="Y28" s="1" t="str">
        <f t="shared" si="0"/>
        <v/>
      </c>
    </row>
    <row r="29" spans="2:25">
      <c r="B29" s="3">
        <v>23</v>
      </c>
      <c r="C29" s="324"/>
      <c r="D29" s="325"/>
      <c r="E29" s="124"/>
      <c r="F29" s="110"/>
      <c r="G29" s="349" t="s">
        <v>62</v>
      </c>
      <c r="H29" s="350" t="s">
        <v>62</v>
      </c>
      <c r="I29" s="344"/>
      <c r="J29" s="7"/>
      <c r="K29" s="351" t="s">
        <v>62</v>
      </c>
      <c r="L29" s="7"/>
      <c r="M29" s="349" t="s">
        <v>62</v>
      </c>
      <c r="N29" s="353"/>
      <c r="O29" s="349" t="s">
        <v>62</v>
      </c>
      <c r="P29" s="353"/>
      <c r="Q29" s="349" t="s">
        <v>62</v>
      </c>
      <c r="R29" s="353"/>
      <c r="S29" s="356" t="s">
        <v>62</v>
      </c>
      <c r="T29" s="354"/>
      <c r="U29" s="62"/>
      <c r="V29" s="7"/>
      <c r="W29" s="351" t="s">
        <v>62</v>
      </c>
      <c r="Y29" s="1" t="str">
        <f t="shared" si="0"/>
        <v/>
      </c>
    </row>
    <row r="30" spans="2:25">
      <c r="B30" s="3">
        <v>24</v>
      </c>
      <c r="C30" s="324"/>
      <c r="D30" s="325"/>
      <c r="E30" s="124"/>
      <c r="F30" s="110"/>
      <c r="G30" s="349" t="s">
        <v>62</v>
      </c>
      <c r="H30" s="350" t="s">
        <v>62</v>
      </c>
      <c r="I30" s="344"/>
      <c r="J30" s="7"/>
      <c r="K30" s="351" t="s">
        <v>62</v>
      </c>
      <c r="L30" s="7"/>
      <c r="M30" s="349" t="s">
        <v>62</v>
      </c>
      <c r="N30" s="353"/>
      <c r="O30" s="349" t="s">
        <v>62</v>
      </c>
      <c r="P30" s="353"/>
      <c r="Q30" s="349" t="s">
        <v>62</v>
      </c>
      <c r="R30" s="353"/>
      <c r="S30" s="356" t="s">
        <v>62</v>
      </c>
      <c r="T30" s="354"/>
      <c r="U30" s="62"/>
      <c r="V30" s="7"/>
      <c r="W30" s="351" t="s">
        <v>62</v>
      </c>
      <c r="Y30" s="1" t="str">
        <f t="shared" si="0"/>
        <v/>
      </c>
    </row>
    <row r="31" spans="2:25" ht="15.75" thickBot="1">
      <c r="B31" s="3">
        <v>25</v>
      </c>
      <c r="C31" s="326"/>
      <c r="D31" s="327"/>
      <c r="E31" s="124"/>
      <c r="F31" s="110"/>
      <c r="G31" s="357" t="s">
        <v>62</v>
      </c>
      <c r="H31" s="358" t="s">
        <v>62</v>
      </c>
      <c r="I31" s="344"/>
      <c r="J31" s="7"/>
      <c r="K31" s="359" t="s">
        <v>62</v>
      </c>
      <c r="L31" s="7"/>
      <c r="M31" s="357" t="s">
        <v>62</v>
      </c>
      <c r="N31" s="360"/>
      <c r="O31" s="357" t="s">
        <v>62</v>
      </c>
      <c r="P31" s="360"/>
      <c r="Q31" s="357" t="s">
        <v>62</v>
      </c>
      <c r="R31" s="360"/>
      <c r="S31" s="361" t="s">
        <v>62</v>
      </c>
      <c r="T31" s="362"/>
      <c r="U31" s="62"/>
      <c r="V31" s="7"/>
      <c r="W31" s="359" t="s">
        <v>62</v>
      </c>
      <c r="Y31" s="1" t="str">
        <f t="shared" si="0"/>
        <v/>
      </c>
    </row>
    <row r="33" spans="4:5">
      <c r="D33" s="44"/>
      <c r="E33" s="43"/>
    </row>
  </sheetData>
  <sheetProtection password="DD3D" sheet="1" objects="1" scenarios="1"/>
  <mergeCells count="27">
    <mergeCell ref="C30:D30"/>
    <mergeCell ref="C31:D31"/>
    <mergeCell ref="C6:D6"/>
    <mergeCell ref="C25:D25"/>
    <mergeCell ref="C26:D26"/>
    <mergeCell ref="C27:D27"/>
    <mergeCell ref="C28:D28"/>
    <mergeCell ref="C29:D29"/>
    <mergeCell ref="C20:D20"/>
    <mergeCell ref="C21:D21"/>
    <mergeCell ref="C22:D22"/>
    <mergeCell ref="C23:D23"/>
    <mergeCell ref="C24:D24"/>
    <mergeCell ref="C15:D15"/>
    <mergeCell ref="C16:D16"/>
    <mergeCell ref="C17:D17"/>
    <mergeCell ref="C19:D19"/>
    <mergeCell ref="C10:D10"/>
    <mergeCell ref="C11:D11"/>
    <mergeCell ref="C12:D12"/>
    <mergeCell ref="C13:D13"/>
    <mergeCell ref="C14:D14"/>
    <mergeCell ref="G5:H5"/>
    <mergeCell ref="C7:D7"/>
    <mergeCell ref="C8:D8"/>
    <mergeCell ref="C9:D9"/>
    <mergeCell ref="C18:D18"/>
  </mergeCells>
  <dataValidations count="1">
    <dataValidation type="list" allowBlank="1" showInputMessage="1" sqref="C7:D31">
      <formula1>EmployeeList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btnCreateAssessPlotBtn">
          <controlPr defaultSize="0" autoLine="0" r:id="rId5">
            <anchor moveWithCells="1">
              <from>
                <xdr:col>9</xdr:col>
                <xdr:colOff>66675</xdr:colOff>
                <xdr:row>48</xdr:row>
                <xdr:rowOff>180975</xdr:rowOff>
              </from>
              <to>
                <xdr:col>10</xdr:col>
                <xdr:colOff>1000125</xdr:colOff>
                <xdr:row>50</xdr:row>
                <xdr:rowOff>104775</xdr:rowOff>
              </to>
            </anchor>
          </controlPr>
        </control>
      </mc:Choice>
      <mc:Fallback>
        <control shapeId="10255" r:id="rId4" name="btnCreateAssessPlotBtn"/>
      </mc:Fallback>
    </mc:AlternateContent>
    <mc:AlternateContent xmlns:mc="http://schemas.openxmlformats.org/markup-compatibility/2006">
      <mc:Choice Requires="x14">
        <control shapeId="10252" r:id="rId6" name="btnCreateSheetClearBreaks">
          <controlPr defaultSize="0" autoLine="0" r:id="rId7">
            <anchor moveWithCells="1">
              <from>
                <xdr:col>16</xdr:col>
                <xdr:colOff>400050</xdr:colOff>
                <xdr:row>0</xdr:row>
                <xdr:rowOff>152400</xdr:rowOff>
              </from>
              <to>
                <xdr:col>18</xdr:col>
                <xdr:colOff>514350</xdr:colOff>
                <xdr:row>2</xdr:row>
                <xdr:rowOff>76200</xdr:rowOff>
              </to>
            </anchor>
          </controlPr>
        </control>
      </mc:Choice>
      <mc:Fallback>
        <control shapeId="10252" r:id="rId6" name="btnCreateSheetClearBreaks"/>
      </mc:Fallback>
    </mc:AlternateContent>
    <mc:AlternateContent xmlns:mc="http://schemas.openxmlformats.org/markup-compatibility/2006">
      <mc:Choice Requires="x14">
        <control shapeId="10251" r:id="rId8" name="btnAssignBreaks">
          <controlPr defaultSize="0" autoLine="0" r:id="rId9">
            <anchor moveWithCells="1">
              <from>
                <xdr:col>13</xdr:col>
                <xdr:colOff>180975</xdr:colOff>
                <xdr:row>0</xdr:row>
                <xdr:rowOff>152400</xdr:rowOff>
              </from>
              <to>
                <xdr:col>16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10251" r:id="rId8" name="btnAssignBreaks"/>
      </mc:Fallback>
    </mc:AlternateContent>
    <mc:AlternateContent xmlns:mc="http://schemas.openxmlformats.org/markup-compatibility/2006">
      <mc:Choice Requires="x14">
        <control shapeId="10248" r:id="rId10" name="btnCreatePrint">
          <controlPr defaultSize="0" autoLine="0" r:id="rId11">
            <anchor moveWithCells="1">
              <from>
                <xdr:col>6</xdr:col>
                <xdr:colOff>85725</xdr:colOff>
                <xdr:row>0</xdr:row>
                <xdr:rowOff>152400</xdr:rowOff>
              </from>
              <to>
                <xdr:col>7</xdr:col>
                <xdr:colOff>400050</xdr:colOff>
                <xdr:row>2</xdr:row>
                <xdr:rowOff>76200</xdr:rowOff>
              </to>
            </anchor>
          </controlPr>
        </control>
      </mc:Choice>
      <mc:Fallback>
        <control shapeId="10248" r:id="rId10" name="btnCreatePrint"/>
      </mc:Fallback>
    </mc:AlternateContent>
    <mc:AlternateContent xmlns:mc="http://schemas.openxmlformats.org/markup-compatibility/2006">
      <mc:Choice Requires="x14">
        <control shapeId="10247" r:id="rId12" name="btnCreateAssess">
          <controlPr defaultSize="0" autoLine="0" r:id="rId13">
            <anchor moveWithCells="1">
              <from>
                <xdr:col>3</xdr:col>
                <xdr:colOff>419100</xdr:colOff>
                <xdr:row>2</xdr:row>
                <xdr:rowOff>161925</xdr:rowOff>
              </from>
              <to>
                <xdr:col>4</xdr:col>
                <xdr:colOff>28575</xdr:colOff>
                <xdr:row>4</xdr:row>
                <xdr:rowOff>76200</xdr:rowOff>
              </to>
            </anchor>
          </controlPr>
        </control>
      </mc:Choice>
      <mc:Fallback>
        <control shapeId="10247" r:id="rId12" name="btnCreateAssess"/>
      </mc:Fallback>
    </mc:AlternateContent>
    <mc:AlternateContent xmlns:mc="http://schemas.openxmlformats.org/markup-compatibility/2006">
      <mc:Choice Requires="x14">
        <control shapeId="10246" r:id="rId14" name="btnCreateSave">
          <controlPr defaultSize="0" autoLine="0" r:id="rId15">
            <anchor moveWithCells="1">
              <from>
                <xdr:col>2</xdr:col>
                <xdr:colOff>457200</xdr:colOff>
                <xdr:row>2</xdr:row>
                <xdr:rowOff>161925</xdr:rowOff>
              </from>
              <to>
                <xdr:col>3</xdr:col>
                <xdr:colOff>66675</xdr:colOff>
                <xdr:row>4</xdr:row>
                <xdr:rowOff>76200</xdr:rowOff>
              </to>
            </anchor>
          </controlPr>
        </control>
      </mc:Choice>
      <mc:Fallback>
        <control shapeId="10246" r:id="rId14" name="btnCreateSave"/>
      </mc:Fallback>
    </mc:AlternateContent>
    <mc:AlternateContent xmlns:mc="http://schemas.openxmlformats.org/markup-compatibility/2006">
      <mc:Choice Requires="x14">
        <control shapeId="10245" r:id="rId16" name="btnCreateSheetClear">
          <controlPr defaultSize="0" autoLine="0" r:id="rId17">
            <anchor moveWithCells="1">
              <from>
                <xdr:col>8</xdr:col>
                <xdr:colOff>114300</xdr:colOff>
                <xdr:row>0</xdr:row>
                <xdr:rowOff>152400</xdr:rowOff>
              </from>
              <to>
                <xdr:col>10</xdr:col>
                <xdr:colOff>314325</xdr:colOff>
                <xdr:row>2</xdr:row>
                <xdr:rowOff>76200</xdr:rowOff>
              </to>
            </anchor>
          </controlPr>
        </control>
      </mc:Choice>
      <mc:Fallback>
        <control shapeId="10245" r:id="rId16" name="btnCreateSheet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D1:E1"/>
  <sheetViews>
    <sheetView workbookViewId="0">
      <selection activeCell="B10" sqref="B10"/>
    </sheetView>
  </sheetViews>
  <sheetFormatPr defaultRowHeight="15"/>
  <cols>
    <col min="1" max="1" width="4.7109375" customWidth="1"/>
    <col min="2" max="2" width="35.7109375" customWidth="1"/>
    <col min="3" max="3" width="3.7109375" customWidth="1"/>
    <col min="4" max="4" width="14.7109375" style="236" customWidth="1"/>
    <col min="5" max="5" width="10.7109375" style="236" customWidth="1"/>
  </cols>
  <sheetData/>
  <sheetProtection password="DD3D" sheet="1" objects="1" scenarios="1"/>
  <pageMargins left="0.7" right="0.7" top="0.75" bottom="0.75" header="0.3" footer="0.3"/>
  <pageSetup orientation="portrait" r:id="rId1"/>
  <headerFooter>
    <oddHeader>&amp;LTeam Schedule Audit&amp;C&amp;C 2022-11-25 Friday&amp;RPage &amp;P fo 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KC30"/>
  <sheetViews>
    <sheetView topLeftCell="A10" workbookViewId="0">
      <pane xSplit="1" topLeftCell="CU1" activePane="topRight" state="frozen"/>
      <selection activeCell="A7" sqref="A7"/>
      <selection pane="topRight" activeCell="A9" sqref="A9"/>
    </sheetView>
  </sheetViews>
  <sheetFormatPr defaultRowHeight="15"/>
  <cols>
    <col min="1" max="1" width="35.7109375" style="148" customWidth="1"/>
    <col min="2" max="7" width="5.7109375" style="146" customWidth="1"/>
    <col min="8" max="8" width="5.7109375" style="147" customWidth="1"/>
    <col min="9" max="289" width="5.7109375" style="146" customWidth="1"/>
    <col min="290" max="390" width="10.7109375" style="123" customWidth="1"/>
    <col min="391" max="16384" width="9.140625" style="123"/>
  </cols>
  <sheetData>
    <row r="1" spans="1:289" s="161" customFormat="1" ht="15.75" thickBot="1">
      <c r="A1" s="160" t="s">
        <v>153</v>
      </c>
      <c r="B1" s="159" t="s">
        <v>157</v>
      </c>
      <c r="C1" s="159" t="s">
        <v>158</v>
      </c>
      <c r="D1" s="159" t="s">
        <v>159</v>
      </c>
      <c r="E1" s="159" t="s">
        <v>160</v>
      </c>
      <c r="F1" s="159" t="s">
        <v>161</v>
      </c>
      <c r="G1" s="159" t="s">
        <v>162</v>
      </c>
      <c r="H1" s="159" t="s">
        <v>163</v>
      </c>
      <c r="I1" s="159" t="s">
        <v>164</v>
      </c>
      <c r="J1" s="159" t="s">
        <v>165</v>
      </c>
      <c r="K1" s="159" t="s">
        <v>166</v>
      </c>
      <c r="L1" s="159" t="s">
        <v>167</v>
      </c>
      <c r="M1" s="159" t="s">
        <v>168</v>
      </c>
      <c r="N1" s="159" t="s">
        <v>169</v>
      </c>
      <c r="O1" s="159" t="s">
        <v>170</v>
      </c>
      <c r="P1" s="159" t="s">
        <v>171</v>
      </c>
      <c r="Q1" s="159" t="s">
        <v>172</v>
      </c>
      <c r="R1" s="159" t="s">
        <v>173</v>
      </c>
      <c r="S1" s="159" t="s">
        <v>174</v>
      </c>
      <c r="T1" s="159" t="s">
        <v>175</v>
      </c>
      <c r="U1" s="159" t="s">
        <v>176</v>
      </c>
      <c r="V1" s="159" t="s">
        <v>177</v>
      </c>
      <c r="W1" s="159" t="s">
        <v>178</v>
      </c>
      <c r="X1" s="159" t="s">
        <v>179</v>
      </c>
      <c r="Y1" s="159" t="s">
        <v>180</v>
      </c>
      <c r="Z1" s="159" t="s">
        <v>181</v>
      </c>
      <c r="AA1" s="159" t="s">
        <v>182</v>
      </c>
      <c r="AB1" s="159" t="s">
        <v>183</v>
      </c>
      <c r="AC1" s="159" t="s">
        <v>184</v>
      </c>
      <c r="AD1" s="159" t="s">
        <v>185</v>
      </c>
      <c r="AE1" s="159" t="s">
        <v>186</v>
      </c>
      <c r="AF1" s="159" t="s">
        <v>187</v>
      </c>
      <c r="AG1" s="159" t="s">
        <v>188</v>
      </c>
      <c r="AH1" s="159" t="s">
        <v>189</v>
      </c>
      <c r="AI1" s="159" t="s">
        <v>190</v>
      </c>
      <c r="AJ1" s="159" t="s">
        <v>191</v>
      </c>
      <c r="AK1" s="159" t="s">
        <v>192</v>
      </c>
      <c r="AL1" s="159" t="s">
        <v>193</v>
      </c>
      <c r="AM1" s="159" t="s">
        <v>194</v>
      </c>
      <c r="AN1" s="159" t="s">
        <v>195</v>
      </c>
      <c r="AO1" s="159" t="s">
        <v>196</v>
      </c>
      <c r="AP1" s="159" t="s">
        <v>197</v>
      </c>
      <c r="AQ1" s="159" t="s">
        <v>198</v>
      </c>
      <c r="AR1" s="159" t="s">
        <v>156</v>
      </c>
      <c r="AS1" s="159" t="s">
        <v>199</v>
      </c>
      <c r="AT1" s="159" t="s">
        <v>200</v>
      </c>
      <c r="AU1" s="159" t="s">
        <v>201</v>
      </c>
      <c r="AV1" s="159" t="s">
        <v>202</v>
      </c>
      <c r="AW1" s="159" t="s">
        <v>203</v>
      </c>
      <c r="AX1" s="159" t="s">
        <v>204</v>
      </c>
      <c r="AY1" s="159" t="s">
        <v>205</v>
      </c>
      <c r="AZ1" s="159" t="s">
        <v>206</v>
      </c>
      <c r="BA1" s="159" t="s">
        <v>207</v>
      </c>
      <c r="BB1" s="159" t="s">
        <v>208</v>
      </c>
      <c r="BC1" s="159" t="s">
        <v>209</v>
      </c>
      <c r="BD1" s="159" t="s">
        <v>210</v>
      </c>
      <c r="BE1" s="159" t="s">
        <v>211</v>
      </c>
      <c r="BF1" s="159" t="s">
        <v>212</v>
      </c>
      <c r="BG1" s="159" t="s">
        <v>213</v>
      </c>
      <c r="BH1" s="159" t="s">
        <v>214</v>
      </c>
      <c r="BI1" s="159" t="s">
        <v>215</v>
      </c>
      <c r="BJ1" s="159" t="s">
        <v>216</v>
      </c>
      <c r="BK1" s="159" t="s">
        <v>217</v>
      </c>
      <c r="BL1" s="159" t="s">
        <v>218</v>
      </c>
      <c r="BM1" s="159" t="s">
        <v>219</v>
      </c>
      <c r="BN1" s="159" t="s">
        <v>220</v>
      </c>
      <c r="BO1" s="159" t="s">
        <v>221</v>
      </c>
      <c r="BP1" s="159" t="s">
        <v>222</v>
      </c>
      <c r="BQ1" s="159" t="s">
        <v>223</v>
      </c>
      <c r="BR1" s="159" t="s">
        <v>224</v>
      </c>
      <c r="BS1" s="159" t="s">
        <v>225</v>
      </c>
      <c r="BT1" s="159" t="s">
        <v>226</v>
      </c>
      <c r="BU1" s="159" t="s">
        <v>227</v>
      </c>
      <c r="BV1" s="159" t="s">
        <v>228</v>
      </c>
      <c r="BW1" s="159" t="s">
        <v>229</v>
      </c>
      <c r="BX1" s="159" t="s">
        <v>230</v>
      </c>
      <c r="BY1" s="159" t="s">
        <v>231</v>
      </c>
      <c r="BZ1" s="159" t="s">
        <v>232</v>
      </c>
      <c r="CA1" s="159" t="s">
        <v>233</v>
      </c>
      <c r="CB1" s="159" t="s">
        <v>234</v>
      </c>
      <c r="CC1" s="159" t="s">
        <v>235</v>
      </c>
      <c r="CD1" s="159" t="s">
        <v>236</v>
      </c>
      <c r="CE1" s="159" t="s">
        <v>237</v>
      </c>
      <c r="CF1" s="159" t="s">
        <v>238</v>
      </c>
      <c r="CG1" s="159" t="s">
        <v>239</v>
      </c>
      <c r="CH1" s="159" t="s">
        <v>240</v>
      </c>
      <c r="CI1" s="159" t="s">
        <v>241</v>
      </c>
      <c r="CJ1" s="159" t="s">
        <v>242</v>
      </c>
      <c r="CK1" s="159" t="s">
        <v>243</v>
      </c>
      <c r="CL1" s="159" t="s">
        <v>244</v>
      </c>
      <c r="CM1" s="159" t="s">
        <v>245</v>
      </c>
      <c r="CN1" s="159" t="s">
        <v>246</v>
      </c>
      <c r="CO1" s="159" t="s">
        <v>247</v>
      </c>
      <c r="CP1" s="159" t="s">
        <v>248</v>
      </c>
      <c r="CQ1" s="159" t="s">
        <v>249</v>
      </c>
      <c r="CR1" s="159" t="s">
        <v>250</v>
      </c>
      <c r="CS1" s="159" t="s">
        <v>251</v>
      </c>
      <c r="CT1" s="159" t="s">
        <v>252</v>
      </c>
      <c r="CU1" s="159" t="s">
        <v>253</v>
      </c>
      <c r="CV1" s="159" t="s">
        <v>254</v>
      </c>
      <c r="CW1" s="159" t="s">
        <v>255</v>
      </c>
      <c r="CX1" s="159" t="s">
        <v>256</v>
      </c>
      <c r="CY1" s="159" t="s">
        <v>257</v>
      </c>
      <c r="CZ1" s="159" t="s">
        <v>258</v>
      </c>
      <c r="DA1" s="159" t="s">
        <v>259</v>
      </c>
      <c r="DB1" s="159" t="s">
        <v>260</v>
      </c>
      <c r="DC1" s="159" t="s">
        <v>261</v>
      </c>
      <c r="DD1" s="159" t="s">
        <v>262</v>
      </c>
      <c r="DE1" s="159" t="s">
        <v>263</v>
      </c>
      <c r="DF1" s="159" t="s">
        <v>264</v>
      </c>
      <c r="DG1" s="159" t="s">
        <v>265</v>
      </c>
      <c r="DH1" s="159" t="s">
        <v>266</v>
      </c>
      <c r="DI1" s="159" t="s">
        <v>267</v>
      </c>
      <c r="DJ1" s="159" t="s">
        <v>268</v>
      </c>
      <c r="DK1" s="159" t="s">
        <v>269</v>
      </c>
      <c r="DL1" s="159" t="s">
        <v>270</v>
      </c>
      <c r="DM1" s="159" t="s">
        <v>271</v>
      </c>
      <c r="DN1" s="159" t="s">
        <v>272</v>
      </c>
      <c r="DO1" s="159" t="s">
        <v>273</v>
      </c>
      <c r="DP1" s="159" t="s">
        <v>274</v>
      </c>
      <c r="DQ1" s="159" t="s">
        <v>275</v>
      </c>
      <c r="DR1" s="159" t="s">
        <v>276</v>
      </c>
      <c r="DS1" s="159" t="s">
        <v>277</v>
      </c>
      <c r="DT1" s="159" t="s">
        <v>278</v>
      </c>
      <c r="DU1" s="159" t="s">
        <v>279</v>
      </c>
      <c r="DV1" s="159" t="s">
        <v>280</v>
      </c>
      <c r="DW1" s="159" t="s">
        <v>281</v>
      </c>
      <c r="DX1" s="159" t="s">
        <v>282</v>
      </c>
      <c r="DY1" s="159" t="s">
        <v>283</v>
      </c>
      <c r="DZ1" s="159" t="s">
        <v>284</v>
      </c>
      <c r="EA1" s="159" t="s">
        <v>285</v>
      </c>
      <c r="EB1" s="159" t="s">
        <v>286</v>
      </c>
      <c r="EC1" s="159" t="s">
        <v>287</v>
      </c>
      <c r="ED1" s="159" t="s">
        <v>288</v>
      </c>
      <c r="EE1" s="159" t="s">
        <v>289</v>
      </c>
      <c r="EF1" s="159" t="s">
        <v>290</v>
      </c>
      <c r="EG1" s="159" t="s">
        <v>291</v>
      </c>
      <c r="EH1" s="159" t="s">
        <v>292</v>
      </c>
      <c r="EI1" s="159" t="s">
        <v>293</v>
      </c>
      <c r="EJ1" s="159" t="s">
        <v>294</v>
      </c>
      <c r="EK1" s="159" t="s">
        <v>295</v>
      </c>
      <c r="EL1" s="159" t="s">
        <v>296</v>
      </c>
      <c r="EM1" s="159" t="s">
        <v>297</v>
      </c>
      <c r="EN1" s="159" t="s">
        <v>298</v>
      </c>
      <c r="EO1" s="159" t="s">
        <v>299</v>
      </c>
      <c r="EP1" s="159" t="s">
        <v>300</v>
      </c>
      <c r="EQ1" s="159" t="s">
        <v>301</v>
      </c>
      <c r="ER1" s="159" t="s">
        <v>302</v>
      </c>
      <c r="ES1" s="159" t="s">
        <v>303</v>
      </c>
      <c r="ET1" s="159" t="s">
        <v>304</v>
      </c>
      <c r="EU1" s="159" t="s">
        <v>305</v>
      </c>
      <c r="EV1" s="159" t="s">
        <v>306</v>
      </c>
      <c r="EW1" s="159" t="s">
        <v>307</v>
      </c>
      <c r="EX1" s="159" t="s">
        <v>308</v>
      </c>
      <c r="EY1" s="159" t="s">
        <v>309</v>
      </c>
      <c r="EZ1" s="159" t="s">
        <v>310</v>
      </c>
      <c r="FA1" s="159" t="s">
        <v>311</v>
      </c>
      <c r="FB1" s="159" t="s">
        <v>312</v>
      </c>
      <c r="FC1" s="159" t="s">
        <v>313</v>
      </c>
      <c r="FD1" s="159" t="s">
        <v>314</v>
      </c>
      <c r="FE1" s="159" t="s">
        <v>315</v>
      </c>
      <c r="FF1" s="159" t="s">
        <v>316</v>
      </c>
      <c r="FG1" s="159" t="s">
        <v>317</v>
      </c>
      <c r="FH1" s="159" t="s">
        <v>318</v>
      </c>
      <c r="FI1" s="159" t="s">
        <v>319</v>
      </c>
      <c r="FJ1" s="159" t="s">
        <v>320</v>
      </c>
      <c r="FK1" s="159" t="s">
        <v>321</v>
      </c>
      <c r="FL1" s="159" t="s">
        <v>322</v>
      </c>
      <c r="FM1" s="159" t="s">
        <v>323</v>
      </c>
      <c r="FN1" s="159" t="s">
        <v>324</v>
      </c>
      <c r="FO1" s="159" t="s">
        <v>325</v>
      </c>
      <c r="FP1" s="159" t="s">
        <v>326</v>
      </c>
      <c r="FQ1" s="159" t="s">
        <v>327</v>
      </c>
      <c r="FR1" s="159" t="s">
        <v>328</v>
      </c>
      <c r="FS1" s="159" t="s">
        <v>329</v>
      </c>
      <c r="FT1" s="159" t="s">
        <v>330</v>
      </c>
      <c r="FU1" s="159" t="s">
        <v>331</v>
      </c>
      <c r="FV1" s="159" t="s">
        <v>332</v>
      </c>
      <c r="FW1" s="159" t="s">
        <v>333</v>
      </c>
      <c r="FX1" s="159" t="s">
        <v>334</v>
      </c>
      <c r="FY1" s="159" t="s">
        <v>335</v>
      </c>
      <c r="FZ1" s="159" t="s">
        <v>336</v>
      </c>
      <c r="GA1" s="159" t="s">
        <v>337</v>
      </c>
      <c r="GB1" s="159" t="s">
        <v>338</v>
      </c>
      <c r="GC1" s="159" t="s">
        <v>339</v>
      </c>
      <c r="GD1" s="159" t="s">
        <v>340</v>
      </c>
      <c r="GE1" s="159" t="s">
        <v>341</v>
      </c>
      <c r="GF1" s="159" t="s">
        <v>342</v>
      </c>
      <c r="GG1" s="159" t="s">
        <v>343</v>
      </c>
      <c r="GH1" s="159" t="s">
        <v>344</v>
      </c>
      <c r="GI1" s="159" t="s">
        <v>345</v>
      </c>
      <c r="GJ1" s="159" t="s">
        <v>346</v>
      </c>
      <c r="GK1" s="159" t="s">
        <v>347</v>
      </c>
      <c r="GL1" s="159" t="s">
        <v>348</v>
      </c>
      <c r="GM1" s="159" t="s">
        <v>349</v>
      </c>
      <c r="GN1" s="159" t="s">
        <v>350</v>
      </c>
      <c r="GO1" s="159" t="s">
        <v>351</v>
      </c>
      <c r="GP1" s="159" t="s">
        <v>352</v>
      </c>
      <c r="GQ1" s="159" t="s">
        <v>353</v>
      </c>
      <c r="GR1" s="159" t="s">
        <v>354</v>
      </c>
      <c r="GS1" s="159" t="s">
        <v>355</v>
      </c>
      <c r="GT1" s="159" t="s">
        <v>356</v>
      </c>
      <c r="GU1" s="159" t="s">
        <v>357</v>
      </c>
      <c r="GV1" s="159" t="s">
        <v>358</v>
      </c>
      <c r="GW1" s="159" t="s">
        <v>359</v>
      </c>
      <c r="GX1" s="159" t="s">
        <v>360</v>
      </c>
      <c r="GY1" s="159" t="s">
        <v>361</v>
      </c>
      <c r="GZ1" s="159" t="s">
        <v>362</v>
      </c>
      <c r="HA1" s="159" t="s">
        <v>363</v>
      </c>
      <c r="HB1" s="159" t="s">
        <v>364</v>
      </c>
      <c r="HC1" s="159" t="s">
        <v>365</v>
      </c>
      <c r="HD1" s="159" t="s">
        <v>366</v>
      </c>
      <c r="HE1" s="159" t="s">
        <v>367</v>
      </c>
      <c r="HF1" s="159" t="s">
        <v>368</v>
      </c>
      <c r="HG1" s="159" t="s">
        <v>369</v>
      </c>
      <c r="HH1" s="159" t="s">
        <v>370</v>
      </c>
      <c r="HI1" s="159" t="s">
        <v>371</v>
      </c>
      <c r="HJ1" s="159" t="s">
        <v>372</v>
      </c>
      <c r="HK1" s="159" t="s">
        <v>373</v>
      </c>
      <c r="HL1" s="159" t="s">
        <v>374</v>
      </c>
      <c r="HM1" s="159" t="s">
        <v>375</v>
      </c>
      <c r="HN1" s="159" t="s">
        <v>376</v>
      </c>
      <c r="HO1" s="159" t="s">
        <v>377</v>
      </c>
      <c r="HP1" s="159" t="s">
        <v>378</v>
      </c>
      <c r="HQ1" s="159" t="s">
        <v>379</v>
      </c>
      <c r="HR1" s="159" t="s">
        <v>380</v>
      </c>
      <c r="HS1" s="159" t="s">
        <v>381</v>
      </c>
      <c r="HT1" s="159" t="s">
        <v>382</v>
      </c>
      <c r="HU1" s="159" t="s">
        <v>383</v>
      </c>
      <c r="HV1" s="159" t="s">
        <v>384</v>
      </c>
      <c r="HW1" s="159" t="s">
        <v>385</v>
      </c>
      <c r="HX1" s="159" t="s">
        <v>386</v>
      </c>
      <c r="HY1" s="159" t="s">
        <v>387</v>
      </c>
      <c r="HZ1" s="159" t="s">
        <v>388</v>
      </c>
      <c r="IA1" s="159" t="s">
        <v>389</v>
      </c>
      <c r="IB1" s="159" t="s">
        <v>390</v>
      </c>
      <c r="IC1" s="159" t="s">
        <v>391</v>
      </c>
      <c r="ID1" s="159" t="s">
        <v>392</v>
      </c>
      <c r="IE1" s="159" t="s">
        <v>393</v>
      </c>
      <c r="IF1" s="159" t="s">
        <v>394</v>
      </c>
      <c r="IG1" s="159" t="s">
        <v>395</v>
      </c>
      <c r="IH1" s="159" t="s">
        <v>396</v>
      </c>
      <c r="II1" s="159" t="s">
        <v>397</v>
      </c>
      <c r="IJ1" s="159" t="s">
        <v>398</v>
      </c>
      <c r="IK1" s="159" t="s">
        <v>399</v>
      </c>
      <c r="IL1" s="159" t="s">
        <v>400</v>
      </c>
      <c r="IM1" s="159" t="s">
        <v>401</v>
      </c>
      <c r="IN1" s="159" t="s">
        <v>402</v>
      </c>
      <c r="IO1" s="159" t="s">
        <v>403</v>
      </c>
      <c r="IP1" s="159" t="s">
        <v>404</v>
      </c>
      <c r="IQ1" s="159" t="s">
        <v>405</v>
      </c>
      <c r="IR1" s="159" t="s">
        <v>406</v>
      </c>
      <c r="IS1" s="159" t="s">
        <v>407</v>
      </c>
      <c r="IT1" s="159" t="s">
        <v>408</v>
      </c>
      <c r="IU1" s="159" t="s">
        <v>409</v>
      </c>
      <c r="IV1" s="159" t="s">
        <v>410</v>
      </c>
      <c r="IW1" s="159" t="s">
        <v>411</v>
      </c>
      <c r="IX1" s="159" t="s">
        <v>412</v>
      </c>
      <c r="IY1" s="159" t="s">
        <v>413</v>
      </c>
      <c r="IZ1" s="159" t="s">
        <v>414</v>
      </c>
      <c r="JA1" s="159" t="s">
        <v>415</v>
      </c>
      <c r="JB1" s="159" t="s">
        <v>416</v>
      </c>
      <c r="JC1" s="159" t="s">
        <v>417</v>
      </c>
      <c r="JD1" s="159" t="s">
        <v>418</v>
      </c>
      <c r="JE1" s="159" t="s">
        <v>419</v>
      </c>
      <c r="JF1" s="159" t="s">
        <v>420</v>
      </c>
      <c r="JG1" s="159" t="s">
        <v>421</v>
      </c>
      <c r="JH1" s="159" t="s">
        <v>422</v>
      </c>
      <c r="JI1" s="159" t="s">
        <v>423</v>
      </c>
      <c r="JJ1" s="159" t="s">
        <v>424</v>
      </c>
      <c r="JK1" s="159" t="s">
        <v>425</v>
      </c>
      <c r="JL1" s="159" t="s">
        <v>426</v>
      </c>
      <c r="JM1" s="159" t="s">
        <v>427</v>
      </c>
      <c r="JN1" s="159" t="s">
        <v>428</v>
      </c>
      <c r="JO1" s="159" t="s">
        <v>429</v>
      </c>
      <c r="JP1" s="159" t="s">
        <v>430</v>
      </c>
      <c r="JQ1" s="159" t="s">
        <v>431</v>
      </c>
      <c r="JR1" s="159" t="s">
        <v>432</v>
      </c>
      <c r="JS1" s="159" t="s">
        <v>433</v>
      </c>
      <c r="JT1" s="159" t="s">
        <v>434</v>
      </c>
      <c r="JU1" s="159" t="s">
        <v>435</v>
      </c>
      <c r="JV1" s="159" t="s">
        <v>436</v>
      </c>
      <c r="JW1" s="159" t="s">
        <v>437</v>
      </c>
      <c r="JX1" s="159" t="s">
        <v>438</v>
      </c>
      <c r="JY1" s="159" t="s">
        <v>439</v>
      </c>
      <c r="JZ1" s="159" t="s">
        <v>440</v>
      </c>
      <c r="KA1" s="159" t="s">
        <v>441</v>
      </c>
      <c r="KB1" s="159" t="s">
        <v>442</v>
      </c>
      <c r="KC1" s="159" t="s">
        <v>443</v>
      </c>
    </row>
    <row r="2" spans="1:289">
      <c r="A2" s="149" t="str">
        <f>IF(Create!C7&lt;&gt;"",Create!C7,"")</f>
        <v/>
      </c>
      <c r="B2" s="167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8"/>
      <c r="CP2" s="168"/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/>
      <c r="FE2" s="168"/>
      <c r="FF2" s="168"/>
      <c r="FG2" s="168"/>
      <c r="FH2" s="168"/>
      <c r="FI2" s="168"/>
      <c r="FJ2" s="168"/>
      <c r="FK2" s="168"/>
      <c r="FL2" s="168"/>
      <c r="FM2" s="168"/>
      <c r="FN2" s="168"/>
      <c r="FO2" s="168"/>
      <c r="FP2" s="168"/>
      <c r="FQ2" s="168"/>
      <c r="FR2" s="168"/>
      <c r="FS2" s="168"/>
      <c r="FT2" s="168"/>
      <c r="FU2" s="168"/>
      <c r="FV2" s="168"/>
      <c r="FW2" s="168"/>
      <c r="FX2" s="168"/>
      <c r="FY2" s="168"/>
      <c r="FZ2" s="168"/>
      <c r="GA2" s="168"/>
      <c r="GB2" s="168"/>
      <c r="GC2" s="168"/>
      <c r="GD2" s="168"/>
      <c r="GE2" s="168"/>
      <c r="GF2" s="168"/>
      <c r="GG2" s="168"/>
      <c r="GH2" s="168"/>
      <c r="GI2" s="168"/>
      <c r="GJ2" s="168"/>
      <c r="GK2" s="168"/>
      <c r="GL2" s="168"/>
      <c r="GM2" s="168"/>
      <c r="GN2" s="168"/>
      <c r="GO2" s="168"/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/>
      <c r="HT2" s="168"/>
      <c r="HU2" s="168"/>
      <c r="HV2" s="168"/>
      <c r="HW2" s="168"/>
      <c r="HX2" s="168"/>
      <c r="HY2" s="168"/>
      <c r="HZ2" s="168"/>
      <c r="IA2" s="168"/>
      <c r="IB2" s="168"/>
      <c r="IC2" s="168"/>
      <c r="ID2" s="168"/>
      <c r="IE2" s="168"/>
      <c r="IF2" s="168"/>
      <c r="IG2" s="168"/>
      <c r="IH2" s="168"/>
      <c r="II2" s="168"/>
      <c r="IJ2" s="168"/>
      <c r="IK2" s="168"/>
      <c r="IL2" s="168"/>
      <c r="IM2" s="168"/>
      <c r="IN2" s="168"/>
      <c r="IO2" s="168"/>
      <c r="IP2" s="168"/>
      <c r="IQ2" s="168"/>
      <c r="IR2" s="168"/>
      <c r="IS2" s="168"/>
      <c r="IT2" s="168"/>
      <c r="IU2" s="168"/>
      <c r="IV2" s="168"/>
      <c r="IW2" s="168"/>
      <c r="IX2" s="168"/>
      <c r="IY2" s="168"/>
      <c r="IZ2" s="168"/>
      <c r="JA2" s="168"/>
      <c r="JB2" s="168"/>
      <c r="JC2" s="168"/>
      <c r="JD2" s="168"/>
      <c r="JE2" s="168"/>
      <c r="JF2" s="168"/>
      <c r="JG2" s="168"/>
      <c r="JH2" s="168"/>
      <c r="JI2" s="168"/>
      <c r="JJ2" s="168"/>
      <c r="JK2" s="168"/>
      <c r="JL2" s="168"/>
      <c r="JM2" s="168"/>
      <c r="JN2" s="168"/>
      <c r="JO2" s="168"/>
      <c r="JP2" s="168"/>
      <c r="JQ2" s="168"/>
      <c r="JR2" s="168"/>
      <c r="JS2" s="168"/>
      <c r="JT2" s="168"/>
      <c r="JU2" s="168"/>
      <c r="JV2" s="168"/>
      <c r="JW2" s="168"/>
      <c r="JX2" s="168"/>
      <c r="JY2" s="168"/>
      <c r="JZ2" s="168"/>
      <c r="KA2" s="168"/>
      <c r="KB2" s="168"/>
      <c r="KC2" s="169"/>
    </row>
    <row r="3" spans="1:289">
      <c r="A3" s="150" t="str">
        <f>IF(Create!C8&lt;&gt;"",Create!C8,"")</f>
        <v/>
      </c>
      <c r="B3" s="170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171"/>
      <c r="EA3" s="171"/>
      <c r="EB3" s="171"/>
      <c r="EC3" s="171"/>
      <c r="ED3" s="171"/>
      <c r="EE3" s="171"/>
      <c r="EF3" s="171"/>
      <c r="EG3" s="171"/>
      <c r="EH3" s="171"/>
      <c r="EI3" s="171"/>
      <c r="EJ3" s="171"/>
      <c r="EK3" s="171"/>
      <c r="EL3" s="171"/>
      <c r="EM3" s="171"/>
      <c r="EN3" s="171"/>
      <c r="EO3" s="171"/>
      <c r="EP3" s="171"/>
      <c r="EQ3" s="171"/>
      <c r="ER3" s="171"/>
      <c r="ES3" s="171"/>
      <c r="ET3" s="171"/>
      <c r="EU3" s="171"/>
      <c r="EV3" s="171"/>
      <c r="EW3" s="171"/>
      <c r="EX3" s="171"/>
      <c r="EY3" s="171"/>
      <c r="EZ3" s="171"/>
      <c r="FA3" s="171"/>
      <c r="FB3" s="171"/>
      <c r="FC3" s="171"/>
      <c r="FD3" s="171"/>
      <c r="FE3" s="171"/>
      <c r="FF3" s="171"/>
      <c r="FG3" s="171"/>
      <c r="FH3" s="171"/>
      <c r="FI3" s="171"/>
      <c r="FJ3" s="171"/>
      <c r="FK3" s="171"/>
      <c r="FL3" s="171"/>
      <c r="FM3" s="171"/>
      <c r="FN3" s="171"/>
      <c r="FO3" s="171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171"/>
      <c r="GC3" s="171"/>
      <c r="GD3" s="171"/>
      <c r="GE3" s="171"/>
      <c r="GF3" s="171"/>
      <c r="GG3" s="171"/>
      <c r="GH3" s="171"/>
      <c r="GI3" s="171"/>
      <c r="GJ3" s="171"/>
      <c r="GK3" s="171"/>
      <c r="GL3" s="171"/>
      <c r="GM3" s="171"/>
      <c r="GN3" s="171"/>
      <c r="GO3" s="171"/>
      <c r="GP3" s="171"/>
      <c r="GQ3" s="171"/>
      <c r="GR3" s="171"/>
      <c r="GS3" s="171"/>
      <c r="GT3" s="171"/>
      <c r="GU3" s="171"/>
      <c r="GV3" s="171"/>
      <c r="GW3" s="171"/>
      <c r="GX3" s="171"/>
      <c r="GY3" s="171"/>
      <c r="GZ3" s="171"/>
      <c r="HA3" s="171"/>
      <c r="HB3" s="171"/>
      <c r="HC3" s="171"/>
      <c r="HD3" s="171"/>
      <c r="HE3" s="171"/>
      <c r="HF3" s="171"/>
      <c r="HG3" s="171"/>
      <c r="HH3" s="171"/>
      <c r="HI3" s="171"/>
      <c r="HJ3" s="171"/>
      <c r="HK3" s="171"/>
      <c r="HL3" s="171"/>
      <c r="HM3" s="171"/>
      <c r="HN3" s="171"/>
      <c r="HO3" s="171"/>
      <c r="HP3" s="171"/>
      <c r="HQ3" s="171"/>
      <c r="HR3" s="171"/>
      <c r="HS3" s="171"/>
      <c r="HT3" s="171"/>
      <c r="HU3" s="171"/>
      <c r="HV3" s="171"/>
      <c r="HW3" s="171"/>
      <c r="HX3" s="171"/>
      <c r="HY3" s="171"/>
      <c r="HZ3" s="171"/>
      <c r="IA3" s="171"/>
      <c r="IB3" s="171"/>
      <c r="IC3" s="171"/>
      <c r="ID3" s="171"/>
      <c r="IE3" s="171"/>
      <c r="IF3" s="171"/>
      <c r="IG3" s="171"/>
      <c r="IH3" s="171"/>
      <c r="II3" s="171"/>
      <c r="IJ3" s="171"/>
      <c r="IK3" s="171"/>
      <c r="IL3" s="171"/>
      <c r="IM3" s="171"/>
      <c r="IN3" s="171"/>
      <c r="IO3" s="171"/>
      <c r="IP3" s="171"/>
      <c r="IQ3" s="171"/>
      <c r="IR3" s="171"/>
      <c r="IS3" s="171"/>
      <c r="IT3" s="171"/>
      <c r="IU3" s="171"/>
      <c r="IV3" s="171"/>
      <c r="IW3" s="171"/>
      <c r="IX3" s="171"/>
      <c r="IY3" s="171"/>
      <c r="IZ3" s="171"/>
      <c r="JA3" s="171"/>
      <c r="JB3" s="171"/>
      <c r="JC3" s="171"/>
      <c r="JD3" s="171"/>
      <c r="JE3" s="171"/>
      <c r="JF3" s="171"/>
      <c r="JG3" s="171"/>
      <c r="JH3" s="171"/>
      <c r="JI3" s="171"/>
      <c r="JJ3" s="171"/>
      <c r="JK3" s="171"/>
      <c r="JL3" s="171"/>
      <c r="JM3" s="171"/>
      <c r="JN3" s="171"/>
      <c r="JO3" s="171"/>
      <c r="JP3" s="171"/>
      <c r="JQ3" s="171"/>
      <c r="JR3" s="171"/>
      <c r="JS3" s="171"/>
      <c r="JT3" s="171"/>
      <c r="JU3" s="171"/>
      <c r="JV3" s="171"/>
      <c r="JW3" s="171"/>
      <c r="JX3" s="171"/>
      <c r="JY3" s="171"/>
      <c r="JZ3" s="171"/>
      <c r="KA3" s="171"/>
      <c r="KB3" s="171"/>
      <c r="KC3" s="172"/>
    </row>
    <row r="4" spans="1:289">
      <c r="A4" s="150" t="str">
        <f>IF(Create!C9&lt;&gt;"",Create!C9,"")</f>
        <v/>
      </c>
      <c r="B4" s="170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71"/>
      <c r="BC4" s="171"/>
      <c r="BD4" s="171"/>
      <c r="BE4" s="171"/>
      <c r="BF4" s="171"/>
      <c r="BG4" s="171"/>
      <c r="BH4" s="171"/>
      <c r="BI4" s="171"/>
      <c r="BJ4" s="171"/>
      <c r="BK4" s="171"/>
      <c r="BL4" s="171"/>
      <c r="BM4" s="171"/>
      <c r="BN4" s="171"/>
      <c r="BO4" s="171"/>
      <c r="BP4" s="171"/>
      <c r="BQ4" s="171"/>
      <c r="BR4" s="171"/>
      <c r="BS4" s="171"/>
      <c r="BT4" s="171"/>
      <c r="BU4" s="171"/>
      <c r="BV4" s="171"/>
      <c r="BW4" s="171"/>
      <c r="BX4" s="171"/>
      <c r="BY4" s="171"/>
      <c r="BZ4" s="171"/>
      <c r="CA4" s="171"/>
      <c r="CB4" s="171"/>
      <c r="CC4" s="171"/>
      <c r="CD4" s="171"/>
      <c r="CE4" s="171"/>
      <c r="CF4" s="171"/>
      <c r="CG4" s="171"/>
      <c r="CH4" s="171"/>
      <c r="CI4" s="171"/>
      <c r="CJ4" s="171"/>
      <c r="CK4" s="171"/>
      <c r="CL4" s="171"/>
      <c r="CM4" s="171"/>
      <c r="CN4" s="171"/>
      <c r="CO4" s="171"/>
      <c r="CP4" s="171"/>
      <c r="CQ4" s="171"/>
      <c r="CR4" s="171"/>
      <c r="CS4" s="171"/>
      <c r="CT4" s="171"/>
      <c r="CU4" s="171"/>
      <c r="CV4" s="171"/>
      <c r="CW4" s="171"/>
      <c r="CX4" s="171"/>
      <c r="CY4" s="171"/>
      <c r="CZ4" s="171"/>
      <c r="DA4" s="171"/>
      <c r="DB4" s="171"/>
      <c r="DC4" s="171"/>
      <c r="DD4" s="171"/>
      <c r="DE4" s="171"/>
      <c r="DF4" s="171"/>
      <c r="DG4" s="171"/>
      <c r="DH4" s="171"/>
      <c r="DI4" s="171"/>
      <c r="DJ4" s="171"/>
      <c r="DK4" s="171"/>
      <c r="DL4" s="171"/>
      <c r="DM4" s="171"/>
      <c r="DN4" s="171"/>
      <c r="DO4" s="171"/>
      <c r="DP4" s="171"/>
      <c r="DQ4" s="171"/>
      <c r="DR4" s="171"/>
      <c r="DS4" s="171"/>
      <c r="DT4" s="171"/>
      <c r="DU4" s="171"/>
      <c r="DV4" s="171"/>
      <c r="DW4" s="171"/>
      <c r="DX4" s="171"/>
      <c r="DY4" s="171"/>
      <c r="DZ4" s="171"/>
      <c r="EA4" s="171"/>
      <c r="EB4" s="171"/>
      <c r="EC4" s="171"/>
      <c r="ED4" s="171"/>
      <c r="EE4" s="171"/>
      <c r="EF4" s="171"/>
      <c r="EG4" s="171"/>
      <c r="EH4" s="171"/>
      <c r="EI4" s="171"/>
      <c r="EJ4" s="171"/>
      <c r="EK4" s="171"/>
      <c r="EL4" s="171"/>
      <c r="EM4" s="171"/>
      <c r="EN4" s="171"/>
      <c r="EO4" s="171"/>
      <c r="EP4" s="171"/>
      <c r="EQ4" s="171"/>
      <c r="ER4" s="171"/>
      <c r="ES4" s="171"/>
      <c r="ET4" s="171"/>
      <c r="EU4" s="171"/>
      <c r="EV4" s="171"/>
      <c r="EW4" s="171"/>
      <c r="EX4" s="171"/>
      <c r="EY4" s="171"/>
      <c r="EZ4" s="171"/>
      <c r="FA4" s="171"/>
      <c r="FB4" s="171"/>
      <c r="FC4" s="171"/>
      <c r="FD4" s="171"/>
      <c r="FE4" s="171"/>
      <c r="FF4" s="171"/>
      <c r="FG4" s="171"/>
      <c r="FH4" s="171"/>
      <c r="FI4" s="171"/>
      <c r="FJ4" s="171"/>
      <c r="FK4" s="171"/>
      <c r="FL4" s="171"/>
      <c r="FM4" s="171"/>
      <c r="FN4" s="171"/>
      <c r="FO4" s="171"/>
      <c r="FP4" s="171"/>
      <c r="FQ4" s="171"/>
      <c r="FR4" s="171"/>
      <c r="FS4" s="171"/>
      <c r="FT4" s="171"/>
      <c r="FU4" s="171"/>
      <c r="FV4" s="171"/>
      <c r="FW4" s="171"/>
      <c r="FX4" s="171"/>
      <c r="FY4" s="171"/>
      <c r="FZ4" s="171"/>
      <c r="GA4" s="171"/>
      <c r="GB4" s="171"/>
      <c r="GC4" s="171"/>
      <c r="GD4" s="171"/>
      <c r="GE4" s="171"/>
      <c r="GF4" s="171"/>
      <c r="GG4" s="171"/>
      <c r="GH4" s="171"/>
      <c r="GI4" s="171"/>
      <c r="GJ4" s="171"/>
      <c r="GK4" s="171"/>
      <c r="GL4" s="171"/>
      <c r="GM4" s="171"/>
      <c r="GN4" s="171"/>
      <c r="GO4" s="171"/>
      <c r="GP4" s="171"/>
      <c r="GQ4" s="171"/>
      <c r="GR4" s="171"/>
      <c r="GS4" s="171"/>
      <c r="GT4" s="171"/>
      <c r="GU4" s="171"/>
      <c r="GV4" s="171"/>
      <c r="GW4" s="171"/>
      <c r="GX4" s="171"/>
      <c r="GY4" s="171"/>
      <c r="GZ4" s="171"/>
      <c r="HA4" s="171"/>
      <c r="HB4" s="171"/>
      <c r="HC4" s="171"/>
      <c r="HD4" s="171"/>
      <c r="HE4" s="171"/>
      <c r="HF4" s="171"/>
      <c r="HG4" s="171"/>
      <c r="HH4" s="171"/>
      <c r="HI4" s="171"/>
      <c r="HJ4" s="171"/>
      <c r="HK4" s="171"/>
      <c r="HL4" s="171"/>
      <c r="HM4" s="171"/>
      <c r="HN4" s="171"/>
      <c r="HO4" s="171"/>
      <c r="HP4" s="171"/>
      <c r="HQ4" s="171"/>
      <c r="HR4" s="171"/>
      <c r="HS4" s="171"/>
      <c r="HT4" s="171"/>
      <c r="HU4" s="171"/>
      <c r="HV4" s="171"/>
      <c r="HW4" s="171"/>
      <c r="HX4" s="171"/>
      <c r="HY4" s="171"/>
      <c r="HZ4" s="171"/>
      <c r="IA4" s="171"/>
      <c r="IB4" s="171"/>
      <c r="IC4" s="171"/>
      <c r="ID4" s="171"/>
      <c r="IE4" s="171"/>
      <c r="IF4" s="171"/>
      <c r="IG4" s="171"/>
      <c r="IH4" s="171"/>
      <c r="II4" s="171"/>
      <c r="IJ4" s="171"/>
      <c r="IK4" s="171"/>
      <c r="IL4" s="171"/>
      <c r="IM4" s="171"/>
      <c r="IN4" s="171"/>
      <c r="IO4" s="171"/>
      <c r="IP4" s="171"/>
      <c r="IQ4" s="171"/>
      <c r="IR4" s="171"/>
      <c r="IS4" s="171"/>
      <c r="IT4" s="171"/>
      <c r="IU4" s="171"/>
      <c r="IV4" s="171"/>
      <c r="IW4" s="171"/>
      <c r="IX4" s="171"/>
      <c r="IY4" s="171"/>
      <c r="IZ4" s="171"/>
      <c r="JA4" s="171"/>
      <c r="JB4" s="171"/>
      <c r="JC4" s="171"/>
      <c r="JD4" s="171"/>
      <c r="JE4" s="171"/>
      <c r="JF4" s="171"/>
      <c r="JG4" s="171"/>
      <c r="JH4" s="171"/>
      <c r="JI4" s="171"/>
      <c r="JJ4" s="171"/>
      <c r="JK4" s="171"/>
      <c r="JL4" s="171"/>
      <c r="JM4" s="171"/>
      <c r="JN4" s="171"/>
      <c r="JO4" s="171"/>
      <c r="JP4" s="171"/>
      <c r="JQ4" s="171"/>
      <c r="JR4" s="171"/>
      <c r="JS4" s="171"/>
      <c r="JT4" s="171"/>
      <c r="JU4" s="171"/>
      <c r="JV4" s="171"/>
      <c r="JW4" s="171"/>
      <c r="JX4" s="171"/>
      <c r="JY4" s="171"/>
      <c r="JZ4" s="171"/>
      <c r="KA4" s="171"/>
      <c r="KB4" s="171"/>
      <c r="KC4" s="172"/>
    </row>
    <row r="5" spans="1:289">
      <c r="A5" s="150" t="str">
        <f>IF(Create!C10&lt;&gt;"",Create!C10,"")</f>
        <v/>
      </c>
      <c r="B5" s="170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71"/>
      <c r="BL5" s="171"/>
      <c r="BM5" s="171"/>
      <c r="BN5" s="171"/>
      <c r="BO5" s="171"/>
      <c r="BP5" s="171"/>
      <c r="BQ5" s="171"/>
      <c r="BR5" s="171"/>
      <c r="BS5" s="171"/>
      <c r="BT5" s="171"/>
      <c r="BU5" s="171"/>
      <c r="BV5" s="171"/>
      <c r="BW5" s="171"/>
      <c r="BX5" s="171"/>
      <c r="BY5" s="171"/>
      <c r="BZ5" s="171"/>
      <c r="CA5" s="171"/>
      <c r="CB5" s="171"/>
      <c r="CC5" s="171"/>
      <c r="CD5" s="171"/>
      <c r="CE5" s="171"/>
      <c r="CF5" s="171"/>
      <c r="CG5" s="171"/>
      <c r="CH5" s="171"/>
      <c r="CI5" s="171"/>
      <c r="CJ5" s="171"/>
      <c r="CK5" s="171"/>
      <c r="CL5" s="171"/>
      <c r="CM5" s="171"/>
      <c r="CN5" s="171"/>
      <c r="CO5" s="171"/>
      <c r="CP5" s="171"/>
      <c r="CQ5" s="171"/>
      <c r="CR5" s="171"/>
      <c r="CS5" s="171"/>
      <c r="CT5" s="171"/>
      <c r="CU5" s="171"/>
      <c r="CV5" s="171"/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1"/>
      <c r="DM5" s="171"/>
      <c r="DN5" s="171"/>
      <c r="DO5" s="171"/>
      <c r="DP5" s="171"/>
      <c r="DQ5" s="171"/>
      <c r="DR5" s="171"/>
      <c r="DS5" s="171"/>
      <c r="DT5" s="171"/>
      <c r="DU5" s="171"/>
      <c r="DV5" s="171"/>
      <c r="DW5" s="171"/>
      <c r="DX5" s="171"/>
      <c r="DY5" s="171"/>
      <c r="DZ5" s="171"/>
      <c r="EA5" s="171"/>
      <c r="EB5" s="171"/>
      <c r="EC5" s="171"/>
      <c r="ED5" s="171"/>
      <c r="EE5" s="171"/>
      <c r="EF5" s="171"/>
      <c r="EG5" s="171"/>
      <c r="EH5" s="171"/>
      <c r="EI5" s="171"/>
      <c r="EJ5" s="171"/>
      <c r="EK5" s="171"/>
      <c r="EL5" s="171"/>
      <c r="EM5" s="171"/>
      <c r="EN5" s="171"/>
      <c r="EO5" s="171"/>
      <c r="EP5" s="171"/>
      <c r="EQ5" s="171"/>
      <c r="ER5" s="171"/>
      <c r="ES5" s="171"/>
      <c r="ET5" s="171"/>
      <c r="EU5" s="171"/>
      <c r="EV5" s="171"/>
      <c r="EW5" s="171"/>
      <c r="EX5" s="171"/>
      <c r="EY5" s="171"/>
      <c r="EZ5" s="171"/>
      <c r="FA5" s="171"/>
      <c r="FB5" s="171"/>
      <c r="FC5" s="171"/>
      <c r="FD5" s="171"/>
      <c r="FE5" s="171"/>
      <c r="FF5" s="171"/>
      <c r="FG5" s="171"/>
      <c r="FH5" s="171"/>
      <c r="FI5" s="171"/>
      <c r="FJ5" s="171"/>
      <c r="FK5" s="171"/>
      <c r="FL5" s="171"/>
      <c r="FM5" s="171"/>
      <c r="FN5" s="171"/>
      <c r="FO5" s="171"/>
      <c r="FP5" s="171"/>
      <c r="FQ5" s="171"/>
      <c r="FR5" s="171"/>
      <c r="FS5" s="171"/>
      <c r="FT5" s="171"/>
      <c r="FU5" s="171"/>
      <c r="FV5" s="171"/>
      <c r="FW5" s="171"/>
      <c r="FX5" s="171"/>
      <c r="FY5" s="171"/>
      <c r="FZ5" s="171"/>
      <c r="GA5" s="171"/>
      <c r="GB5" s="171"/>
      <c r="GC5" s="171"/>
      <c r="GD5" s="171"/>
      <c r="GE5" s="171"/>
      <c r="GF5" s="171"/>
      <c r="GG5" s="171"/>
      <c r="GH5" s="171"/>
      <c r="GI5" s="171"/>
      <c r="GJ5" s="171"/>
      <c r="GK5" s="171"/>
      <c r="GL5" s="171"/>
      <c r="GM5" s="171"/>
      <c r="GN5" s="171"/>
      <c r="GO5" s="171"/>
      <c r="GP5" s="171"/>
      <c r="GQ5" s="171"/>
      <c r="GR5" s="171"/>
      <c r="GS5" s="171"/>
      <c r="GT5" s="171"/>
      <c r="GU5" s="171"/>
      <c r="GV5" s="171"/>
      <c r="GW5" s="171"/>
      <c r="GX5" s="171"/>
      <c r="GY5" s="171"/>
      <c r="GZ5" s="171"/>
      <c r="HA5" s="171"/>
      <c r="HB5" s="171"/>
      <c r="HC5" s="171"/>
      <c r="HD5" s="171"/>
      <c r="HE5" s="171"/>
      <c r="HF5" s="171"/>
      <c r="HG5" s="171"/>
      <c r="HH5" s="171"/>
      <c r="HI5" s="171"/>
      <c r="HJ5" s="171"/>
      <c r="HK5" s="171"/>
      <c r="HL5" s="171"/>
      <c r="HM5" s="171"/>
      <c r="HN5" s="171"/>
      <c r="HO5" s="171"/>
      <c r="HP5" s="171"/>
      <c r="HQ5" s="171"/>
      <c r="HR5" s="171"/>
      <c r="HS5" s="171"/>
      <c r="HT5" s="171"/>
      <c r="HU5" s="171"/>
      <c r="HV5" s="171"/>
      <c r="HW5" s="171"/>
      <c r="HX5" s="171"/>
      <c r="HY5" s="171"/>
      <c r="HZ5" s="171"/>
      <c r="IA5" s="171"/>
      <c r="IB5" s="171"/>
      <c r="IC5" s="171"/>
      <c r="ID5" s="171"/>
      <c r="IE5" s="171"/>
      <c r="IF5" s="171"/>
      <c r="IG5" s="171"/>
      <c r="IH5" s="171"/>
      <c r="II5" s="171"/>
      <c r="IJ5" s="171"/>
      <c r="IK5" s="171"/>
      <c r="IL5" s="171"/>
      <c r="IM5" s="171"/>
      <c r="IN5" s="171"/>
      <c r="IO5" s="171"/>
      <c r="IP5" s="171"/>
      <c r="IQ5" s="171"/>
      <c r="IR5" s="171"/>
      <c r="IS5" s="171"/>
      <c r="IT5" s="171"/>
      <c r="IU5" s="171"/>
      <c r="IV5" s="171"/>
      <c r="IW5" s="171"/>
      <c r="IX5" s="171"/>
      <c r="IY5" s="171"/>
      <c r="IZ5" s="171"/>
      <c r="JA5" s="171"/>
      <c r="JB5" s="171"/>
      <c r="JC5" s="171"/>
      <c r="JD5" s="171"/>
      <c r="JE5" s="171"/>
      <c r="JF5" s="171"/>
      <c r="JG5" s="171"/>
      <c r="JH5" s="171"/>
      <c r="JI5" s="171"/>
      <c r="JJ5" s="171"/>
      <c r="JK5" s="171"/>
      <c r="JL5" s="171"/>
      <c r="JM5" s="171"/>
      <c r="JN5" s="171"/>
      <c r="JO5" s="171"/>
      <c r="JP5" s="171"/>
      <c r="JQ5" s="171"/>
      <c r="JR5" s="171"/>
      <c r="JS5" s="171"/>
      <c r="JT5" s="171"/>
      <c r="JU5" s="171"/>
      <c r="JV5" s="171"/>
      <c r="JW5" s="171"/>
      <c r="JX5" s="171"/>
      <c r="JY5" s="171"/>
      <c r="JZ5" s="171"/>
      <c r="KA5" s="171"/>
      <c r="KB5" s="171"/>
      <c r="KC5" s="172"/>
    </row>
    <row r="6" spans="1:289">
      <c r="A6" s="150" t="str">
        <f>IF(Create!C11&lt;&gt;"",Create!C11,"")</f>
        <v/>
      </c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171"/>
      <c r="CF6" s="171"/>
      <c r="CG6" s="171"/>
      <c r="CH6" s="171"/>
      <c r="CI6" s="171"/>
      <c r="CJ6" s="171"/>
      <c r="CK6" s="171"/>
      <c r="CL6" s="171"/>
      <c r="CM6" s="171"/>
      <c r="CN6" s="171"/>
      <c r="CO6" s="171"/>
      <c r="CP6" s="171"/>
      <c r="CQ6" s="171"/>
      <c r="CR6" s="171"/>
      <c r="CS6" s="171"/>
      <c r="CT6" s="171"/>
      <c r="CU6" s="171"/>
      <c r="CV6" s="171"/>
      <c r="CW6" s="171"/>
      <c r="CX6" s="171"/>
      <c r="CY6" s="171"/>
      <c r="CZ6" s="171"/>
      <c r="DA6" s="171"/>
      <c r="DB6" s="171"/>
      <c r="DC6" s="171"/>
      <c r="DD6" s="171"/>
      <c r="DE6" s="171"/>
      <c r="DF6" s="171"/>
      <c r="DG6" s="171"/>
      <c r="DH6" s="171"/>
      <c r="DI6" s="171"/>
      <c r="DJ6" s="171"/>
      <c r="DK6" s="171"/>
      <c r="DL6" s="171"/>
      <c r="DM6" s="171"/>
      <c r="DN6" s="171"/>
      <c r="DO6" s="171"/>
      <c r="DP6" s="171"/>
      <c r="DQ6" s="171"/>
      <c r="DR6" s="171"/>
      <c r="DS6" s="171"/>
      <c r="DT6" s="171"/>
      <c r="DU6" s="171"/>
      <c r="DV6" s="171"/>
      <c r="DW6" s="171"/>
      <c r="DX6" s="171"/>
      <c r="DY6" s="171"/>
      <c r="DZ6" s="171"/>
      <c r="EA6" s="171"/>
      <c r="EB6" s="171"/>
      <c r="EC6" s="171"/>
      <c r="ED6" s="171"/>
      <c r="EE6" s="171"/>
      <c r="EF6" s="171"/>
      <c r="EG6" s="171"/>
      <c r="EH6" s="171"/>
      <c r="EI6" s="171"/>
      <c r="EJ6" s="171"/>
      <c r="EK6" s="171"/>
      <c r="EL6" s="171"/>
      <c r="EM6" s="171"/>
      <c r="EN6" s="171"/>
      <c r="EO6" s="171"/>
      <c r="EP6" s="171"/>
      <c r="EQ6" s="171"/>
      <c r="ER6" s="171"/>
      <c r="ES6" s="171"/>
      <c r="ET6" s="171"/>
      <c r="EU6" s="171"/>
      <c r="EV6" s="171"/>
      <c r="EW6" s="171"/>
      <c r="EX6" s="171"/>
      <c r="EY6" s="171"/>
      <c r="EZ6" s="171"/>
      <c r="FA6" s="171"/>
      <c r="FB6" s="171"/>
      <c r="FC6" s="171"/>
      <c r="FD6" s="171"/>
      <c r="FE6" s="171"/>
      <c r="FF6" s="171"/>
      <c r="FG6" s="171"/>
      <c r="FH6" s="171"/>
      <c r="FI6" s="171"/>
      <c r="FJ6" s="171"/>
      <c r="FK6" s="171"/>
      <c r="FL6" s="171"/>
      <c r="FM6" s="171"/>
      <c r="FN6" s="171"/>
      <c r="FO6" s="171"/>
      <c r="FP6" s="171"/>
      <c r="FQ6" s="171"/>
      <c r="FR6" s="171"/>
      <c r="FS6" s="171"/>
      <c r="FT6" s="171"/>
      <c r="FU6" s="171"/>
      <c r="FV6" s="171"/>
      <c r="FW6" s="171"/>
      <c r="FX6" s="171"/>
      <c r="FY6" s="171"/>
      <c r="FZ6" s="171"/>
      <c r="GA6" s="171"/>
      <c r="GB6" s="171"/>
      <c r="GC6" s="171"/>
      <c r="GD6" s="171"/>
      <c r="GE6" s="171"/>
      <c r="GF6" s="171"/>
      <c r="GG6" s="171"/>
      <c r="GH6" s="171"/>
      <c r="GI6" s="171"/>
      <c r="GJ6" s="171"/>
      <c r="GK6" s="171"/>
      <c r="GL6" s="171"/>
      <c r="GM6" s="171"/>
      <c r="GN6" s="171"/>
      <c r="GO6" s="171"/>
      <c r="GP6" s="171"/>
      <c r="GQ6" s="171"/>
      <c r="GR6" s="171"/>
      <c r="GS6" s="171"/>
      <c r="GT6" s="171"/>
      <c r="GU6" s="171"/>
      <c r="GV6" s="171"/>
      <c r="GW6" s="171"/>
      <c r="GX6" s="171"/>
      <c r="GY6" s="171"/>
      <c r="GZ6" s="171"/>
      <c r="HA6" s="171"/>
      <c r="HB6" s="171"/>
      <c r="HC6" s="171"/>
      <c r="HD6" s="171"/>
      <c r="HE6" s="171"/>
      <c r="HF6" s="171"/>
      <c r="HG6" s="171"/>
      <c r="HH6" s="171"/>
      <c r="HI6" s="171"/>
      <c r="HJ6" s="171"/>
      <c r="HK6" s="171"/>
      <c r="HL6" s="171"/>
      <c r="HM6" s="171"/>
      <c r="HN6" s="171"/>
      <c r="HO6" s="171"/>
      <c r="HP6" s="171"/>
      <c r="HQ6" s="171"/>
      <c r="HR6" s="171"/>
      <c r="HS6" s="171"/>
      <c r="HT6" s="171"/>
      <c r="HU6" s="171"/>
      <c r="HV6" s="171"/>
      <c r="HW6" s="171"/>
      <c r="HX6" s="171"/>
      <c r="HY6" s="171"/>
      <c r="HZ6" s="171"/>
      <c r="IA6" s="171"/>
      <c r="IB6" s="171"/>
      <c r="IC6" s="171"/>
      <c r="ID6" s="171"/>
      <c r="IE6" s="171"/>
      <c r="IF6" s="171"/>
      <c r="IG6" s="171"/>
      <c r="IH6" s="171"/>
      <c r="II6" s="171"/>
      <c r="IJ6" s="171"/>
      <c r="IK6" s="171"/>
      <c r="IL6" s="171"/>
      <c r="IM6" s="171"/>
      <c r="IN6" s="171"/>
      <c r="IO6" s="171"/>
      <c r="IP6" s="171"/>
      <c r="IQ6" s="171"/>
      <c r="IR6" s="171"/>
      <c r="IS6" s="171"/>
      <c r="IT6" s="171"/>
      <c r="IU6" s="171"/>
      <c r="IV6" s="171"/>
      <c r="IW6" s="171"/>
      <c r="IX6" s="171"/>
      <c r="IY6" s="171"/>
      <c r="IZ6" s="171"/>
      <c r="JA6" s="171"/>
      <c r="JB6" s="171"/>
      <c r="JC6" s="171"/>
      <c r="JD6" s="171"/>
      <c r="JE6" s="171"/>
      <c r="JF6" s="171"/>
      <c r="JG6" s="171"/>
      <c r="JH6" s="171"/>
      <c r="JI6" s="171"/>
      <c r="JJ6" s="171"/>
      <c r="JK6" s="171"/>
      <c r="JL6" s="171"/>
      <c r="JM6" s="171"/>
      <c r="JN6" s="171"/>
      <c r="JO6" s="171"/>
      <c r="JP6" s="171"/>
      <c r="JQ6" s="171"/>
      <c r="JR6" s="171"/>
      <c r="JS6" s="171"/>
      <c r="JT6" s="171"/>
      <c r="JU6" s="171"/>
      <c r="JV6" s="171"/>
      <c r="JW6" s="171"/>
      <c r="JX6" s="171"/>
      <c r="JY6" s="171"/>
      <c r="JZ6" s="171"/>
      <c r="KA6" s="171"/>
      <c r="KB6" s="171"/>
      <c r="KC6" s="172"/>
    </row>
    <row r="7" spans="1:289">
      <c r="A7" s="150" t="str">
        <f>IF(Create!C12&lt;&gt;"",Create!C12,"")</f>
        <v/>
      </c>
      <c r="B7" s="170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71"/>
      <c r="BI7" s="171"/>
      <c r="BJ7" s="171"/>
      <c r="BK7" s="171"/>
      <c r="BL7" s="171"/>
      <c r="BM7" s="171"/>
      <c r="BN7" s="171"/>
      <c r="BO7" s="171"/>
      <c r="BP7" s="171"/>
      <c r="BQ7" s="171"/>
      <c r="BR7" s="171"/>
      <c r="BS7" s="171"/>
      <c r="BT7" s="171"/>
      <c r="BU7" s="171"/>
      <c r="BV7" s="171"/>
      <c r="BW7" s="171"/>
      <c r="BX7" s="171"/>
      <c r="BY7" s="171"/>
      <c r="BZ7" s="171"/>
      <c r="CA7" s="171"/>
      <c r="CB7" s="171"/>
      <c r="CC7" s="171"/>
      <c r="CD7" s="171"/>
      <c r="CE7" s="171"/>
      <c r="CF7" s="171"/>
      <c r="CG7" s="171"/>
      <c r="CH7" s="171"/>
      <c r="CI7" s="171"/>
      <c r="CJ7" s="171"/>
      <c r="CK7" s="171"/>
      <c r="CL7" s="171"/>
      <c r="CM7" s="171"/>
      <c r="CN7" s="171"/>
      <c r="CO7" s="171"/>
      <c r="CP7" s="171"/>
      <c r="CQ7" s="171"/>
      <c r="CR7" s="171"/>
      <c r="CS7" s="171"/>
      <c r="CT7" s="171"/>
      <c r="CU7" s="171"/>
      <c r="CV7" s="171"/>
      <c r="CW7" s="171"/>
      <c r="CX7" s="171"/>
      <c r="CY7" s="171"/>
      <c r="CZ7" s="171"/>
      <c r="DA7" s="171"/>
      <c r="DB7" s="171"/>
      <c r="DC7" s="171"/>
      <c r="DD7" s="171"/>
      <c r="DE7" s="171"/>
      <c r="DF7" s="171"/>
      <c r="DG7" s="171"/>
      <c r="DH7" s="171"/>
      <c r="DI7" s="171"/>
      <c r="DJ7" s="171"/>
      <c r="DK7" s="171"/>
      <c r="DL7" s="171"/>
      <c r="DM7" s="171"/>
      <c r="DN7" s="171"/>
      <c r="DO7" s="171"/>
      <c r="DP7" s="171"/>
      <c r="DQ7" s="171"/>
      <c r="DR7" s="171"/>
      <c r="DS7" s="171"/>
      <c r="DT7" s="171"/>
      <c r="DU7" s="171"/>
      <c r="DV7" s="171"/>
      <c r="DW7" s="171"/>
      <c r="DX7" s="171"/>
      <c r="DY7" s="171"/>
      <c r="DZ7" s="171"/>
      <c r="EA7" s="171"/>
      <c r="EB7" s="171"/>
      <c r="EC7" s="171"/>
      <c r="ED7" s="171"/>
      <c r="EE7" s="171"/>
      <c r="EF7" s="171"/>
      <c r="EG7" s="171"/>
      <c r="EH7" s="171"/>
      <c r="EI7" s="171"/>
      <c r="EJ7" s="171"/>
      <c r="EK7" s="171"/>
      <c r="EL7" s="171"/>
      <c r="EM7" s="171"/>
      <c r="EN7" s="171"/>
      <c r="EO7" s="171"/>
      <c r="EP7" s="171"/>
      <c r="EQ7" s="171"/>
      <c r="ER7" s="171"/>
      <c r="ES7" s="171"/>
      <c r="ET7" s="171"/>
      <c r="EU7" s="171"/>
      <c r="EV7" s="171"/>
      <c r="EW7" s="171"/>
      <c r="EX7" s="171"/>
      <c r="EY7" s="171"/>
      <c r="EZ7" s="171"/>
      <c r="FA7" s="171"/>
      <c r="FB7" s="171"/>
      <c r="FC7" s="171"/>
      <c r="FD7" s="171"/>
      <c r="FE7" s="171"/>
      <c r="FF7" s="171"/>
      <c r="FG7" s="171"/>
      <c r="FH7" s="171"/>
      <c r="FI7" s="171"/>
      <c r="FJ7" s="171"/>
      <c r="FK7" s="171"/>
      <c r="FL7" s="171"/>
      <c r="FM7" s="171"/>
      <c r="FN7" s="171"/>
      <c r="FO7" s="171"/>
      <c r="FP7" s="171"/>
      <c r="FQ7" s="171"/>
      <c r="FR7" s="171"/>
      <c r="FS7" s="171"/>
      <c r="FT7" s="171"/>
      <c r="FU7" s="171"/>
      <c r="FV7" s="171"/>
      <c r="FW7" s="171"/>
      <c r="FX7" s="171"/>
      <c r="FY7" s="171"/>
      <c r="FZ7" s="171"/>
      <c r="GA7" s="171"/>
      <c r="GB7" s="171"/>
      <c r="GC7" s="171"/>
      <c r="GD7" s="171"/>
      <c r="GE7" s="171"/>
      <c r="GF7" s="171"/>
      <c r="GG7" s="171"/>
      <c r="GH7" s="171"/>
      <c r="GI7" s="171"/>
      <c r="GJ7" s="171"/>
      <c r="GK7" s="171"/>
      <c r="GL7" s="171"/>
      <c r="GM7" s="171"/>
      <c r="GN7" s="171"/>
      <c r="GO7" s="171"/>
      <c r="GP7" s="171"/>
      <c r="GQ7" s="171"/>
      <c r="GR7" s="171"/>
      <c r="GS7" s="171"/>
      <c r="GT7" s="171"/>
      <c r="GU7" s="171"/>
      <c r="GV7" s="171"/>
      <c r="GW7" s="171"/>
      <c r="GX7" s="171"/>
      <c r="GY7" s="171"/>
      <c r="GZ7" s="171"/>
      <c r="HA7" s="171"/>
      <c r="HB7" s="171"/>
      <c r="HC7" s="171"/>
      <c r="HD7" s="171"/>
      <c r="HE7" s="171"/>
      <c r="HF7" s="171"/>
      <c r="HG7" s="171"/>
      <c r="HH7" s="171"/>
      <c r="HI7" s="171"/>
      <c r="HJ7" s="171"/>
      <c r="HK7" s="171"/>
      <c r="HL7" s="171"/>
      <c r="HM7" s="171"/>
      <c r="HN7" s="171"/>
      <c r="HO7" s="171"/>
      <c r="HP7" s="171"/>
      <c r="HQ7" s="171"/>
      <c r="HR7" s="171"/>
      <c r="HS7" s="171"/>
      <c r="HT7" s="171"/>
      <c r="HU7" s="171"/>
      <c r="HV7" s="171"/>
      <c r="HW7" s="171"/>
      <c r="HX7" s="171"/>
      <c r="HY7" s="171"/>
      <c r="HZ7" s="171"/>
      <c r="IA7" s="171"/>
      <c r="IB7" s="171"/>
      <c r="IC7" s="171"/>
      <c r="ID7" s="171"/>
      <c r="IE7" s="171"/>
      <c r="IF7" s="171"/>
      <c r="IG7" s="171"/>
      <c r="IH7" s="171"/>
      <c r="II7" s="171"/>
      <c r="IJ7" s="171"/>
      <c r="IK7" s="171"/>
      <c r="IL7" s="171"/>
      <c r="IM7" s="171"/>
      <c r="IN7" s="171"/>
      <c r="IO7" s="171"/>
      <c r="IP7" s="171"/>
      <c r="IQ7" s="171"/>
      <c r="IR7" s="171"/>
      <c r="IS7" s="171"/>
      <c r="IT7" s="171"/>
      <c r="IU7" s="171"/>
      <c r="IV7" s="171"/>
      <c r="IW7" s="171"/>
      <c r="IX7" s="171"/>
      <c r="IY7" s="171"/>
      <c r="IZ7" s="171"/>
      <c r="JA7" s="171"/>
      <c r="JB7" s="171"/>
      <c r="JC7" s="171"/>
      <c r="JD7" s="171"/>
      <c r="JE7" s="171"/>
      <c r="JF7" s="171"/>
      <c r="JG7" s="171"/>
      <c r="JH7" s="171"/>
      <c r="JI7" s="171"/>
      <c r="JJ7" s="171"/>
      <c r="JK7" s="171"/>
      <c r="JL7" s="171"/>
      <c r="JM7" s="171"/>
      <c r="JN7" s="171"/>
      <c r="JO7" s="171"/>
      <c r="JP7" s="171"/>
      <c r="JQ7" s="171"/>
      <c r="JR7" s="171"/>
      <c r="JS7" s="171"/>
      <c r="JT7" s="171"/>
      <c r="JU7" s="171"/>
      <c r="JV7" s="171"/>
      <c r="JW7" s="171"/>
      <c r="JX7" s="171"/>
      <c r="JY7" s="171"/>
      <c r="JZ7" s="171"/>
      <c r="KA7" s="171"/>
      <c r="KB7" s="171"/>
      <c r="KC7" s="172"/>
    </row>
    <row r="8" spans="1:289">
      <c r="A8" s="150" t="str">
        <f>IF(Create!C13&lt;&gt;"",Create!C13,"")</f>
        <v/>
      </c>
      <c r="B8" s="170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1"/>
      <c r="CR8" s="171"/>
      <c r="CS8" s="171"/>
      <c r="CT8" s="171"/>
      <c r="CU8" s="171"/>
      <c r="CV8" s="171"/>
      <c r="CW8" s="171"/>
      <c r="CX8" s="171"/>
      <c r="CY8" s="171"/>
      <c r="CZ8" s="171"/>
      <c r="DA8" s="171"/>
      <c r="DB8" s="171"/>
      <c r="DC8" s="171"/>
      <c r="DD8" s="171"/>
      <c r="DE8" s="171"/>
      <c r="DF8" s="171"/>
      <c r="DG8" s="171"/>
      <c r="DH8" s="171"/>
      <c r="DI8" s="171"/>
      <c r="DJ8" s="171"/>
      <c r="DK8" s="171"/>
      <c r="DL8" s="171"/>
      <c r="DM8" s="171"/>
      <c r="DN8" s="171"/>
      <c r="DO8" s="171"/>
      <c r="DP8" s="171"/>
      <c r="DQ8" s="171"/>
      <c r="DR8" s="171"/>
      <c r="DS8" s="171"/>
      <c r="DT8" s="171"/>
      <c r="DU8" s="171"/>
      <c r="DV8" s="171"/>
      <c r="DW8" s="171"/>
      <c r="DX8" s="171"/>
      <c r="DY8" s="171"/>
      <c r="DZ8" s="171"/>
      <c r="EA8" s="171"/>
      <c r="EB8" s="171"/>
      <c r="EC8" s="171"/>
      <c r="ED8" s="171"/>
      <c r="EE8" s="171"/>
      <c r="EF8" s="171"/>
      <c r="EG8" s="171"/>
      <c r="EH8" s="171"/>
      <c r="EI8" s="171"/>
      <c r="EJ8" s="171"/>
      <c r="EK8" s="171"/>
      <c r="EL8" s="171"/>
      <c r="EM8" s="171"/>
      <c r="EN8" s="171"/>
      <c r="EO8" s="171"/>
      <c r="EP8" s="171"/>
      <c r="EQ8" s="171"/>
      <c r="ER8" s="171"/>
      <c r="ES8" s="171"/>
      <c r="ET8" s="171"/>
      <c r="EU8" s="171"/>
      <c r="EV8" s="171"/>
      <c r="EW8" s="171"/>
      <c r="EX8" s="171"/>
      <c r="EY8" s="171"/>
      <c r="EZ8" s="171"/>
      <c r="FA8" s="171"/>
      <c r="FB8" s="171"/>
      <c r="FC8" s="171"/>
      <c r="FD8" s="171"/>
      <c r="FE8" s="171"/>
      <c r="FF8" s="171"/>
      <c r="FG8" s="171"/>
      <c r="FH8" s="171"/>
      <c r="FI8" s="171"/>
      <c r="FJ8" s="171"/>
      <c r="FK8" s="171"/>
      <c r="FL8" s="171"/>
      <c r="FM8" s="171"/>
      <c r="FN8" s="171"/>
      <c r="FO8" s="171"/>
      <c r="FP8" s="171"/>
      <c r="FQ8" s="171"/>
      <c r="FR8" s="171"/>
      <c r="FS8" s="171"/>
      <c r="FT8" s="171"/>
      <c r="FU8" s="171"/>
      <c r="FV8" s="171"/>
      <c r="FW8" s="171"/>
      <c r="FX8" s="171"/>
      <c r="FY8" s="171"/>
      <c r="FZ8" s="171"/>
      <c r="GA8" s="171"/>
      <c r="GB8" s="171"/>
      <c r="GC8" s="171"/>
      <c r="GD8" s="171"/>
      <c r="GE8" s="171"/>
      <c r="GF8" s="171"/>
      <c r="GG8" s="171"/>
      <c r="GH8" s="171"/>
      <c r="GI8" s="171"/>
      <c r="GJ8" s="171"/>
      <c r="GK8" s="171"/>
      <c r="GL8" s="171"/>
      <c r="GM8" s="171"/>
      <c r="GN8" s="171"/>
      <c r="GO8" s="171"/>
      <c r="GP8" s="171"/>
      <c r="GQ8" s="171"/>
      <c r="GR8" s="171"/>
      <c r="GS8" s="171"/>
      <c r="GT8" s="171"/>
      <c r="GU8" s="171"/>
      <c r="GV8" s="171"/>
      <c r="GW8" s="171"/>
      <c r="GX8" s="171"/>
      <c r="GY8" s="171"/>
      <c r="GZ8" s="171"/>
      <c r="HA8" s="171"/>
      <c r="HB8" s="171"/>
      <c r="HC8" s="171"/>
      <c r="HD8" s="171"/>
      <c r="HE8" s="171"/>
      <c r="HF8" s="171"/>
      <c r="HG8" s="171"/>
      <c r="HH8" s="171"/>
      <c r="HI8" s="171"/>
      <c r="HJ8" s="171"/>
      <c r="HK8" s="171"/>
      <c r="HL8" s="171"/>
      <c r="HM8" s="171"/>
      <c r="HN8" s="171"/>
      <c r="HO8" s="171"/>
      <c r="HP8" s="171"/>
      <c r="HQ8" s="171"/>
      <c r="HR8" s="171"/>
      <c r="HS8" s="171"/>
      <c r="HT8" s="171"/>
      <c r="HU8" s="171"/>
      <c r="HV8" s="171"/>
      <c r="HW8" s="171"/>
      <c r="HX8" s="171"/>
      <c r="HY8" s="171"/>
      <c r="HZ8" s="171"/>
      <c r="IA8" s="171"/>
      <c r="IB8" s="171"/>
      <c r="IC8" s="171"/>
      <c r="ID8" s="171"/>
      <c r="IE8" s="171"/>
      <c r="IF8" s="171"/>
      <c r="IG8" s="171"/>
      <c r="IH8" s="171"/>
      <c r="II8" s="171"/>
      <c r="IJ8" s="171"/>
      <c r="IK8" s="171"/>
      <c r="IL8" s="171"/>
      <c r="IM8" s="171"/>
      <c r="IN8" s="171"/>
      <c r="IO8" s="171"/>
      <c r="IP8" s="171"/>
      <c r="IQ8" s="171"/>
      <c r="IR8" s="171"/>
      <c r="IS8" s="171"/>
      <c r="IT8" s="171"/>
      <c r="IU8" s="171"/>
      <c r="IV8" s="171"/>
      <c r="IW8" s="171"/>
      <c r="IX8" s="171"/>
      <c r="IY8" s="171"/>
      <c r="IZ8" s="171"/>
      <c r="JA8" s="171"/>
      <c r="JB8" s="171"/>
      <c r="JC8" s="171"/>
      <c r="JD8" s="171"/>
      <c r="JE8" s="171"/>
      <c r="JF8" s="171"/>
      <c r="JG8" s="171"/>
      <c r="JH8" s="171"/>
      <c r="JI8" s="171"/>
      <c r="JJ8" s="171"/>
      <c r="JK8" s="171"/>
      <c r="JL8" s="171"/>
      <c r="JM8" s="171"/>
      <c r="JN8" s="171"/>
      <c r="JO8" s="171"/>
      <c r="JP8" s="171"/>
      <c r="JQ8" s="171"/>
      <c r="JR8" s="171"/>
      <c r="JS8" s="171"/>
      <c r="JT8" s="171"/>
      <c r="JU8" s="171"/>
      <c r="JV8" s="171"/>
      <c r="JW8" s="171"/>
      <c r="JX8" s="171"/>
      <c r="JY8" s="171"/>
      <c r="JZ8" s="171"/>
      <c r="KA8" s="171"/>
      <c r="KB8" s="171"/>
      <c r="KC8" s="172"/>
    </row>
    <row r="9" spans="1:289">
      <c r="A9" s="150" t="str">
        <f>IF(Create!C14&lt;&gt;"",Create!C14,"")</f>
        <v/>
      </c>
      <c r="B9" s="170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71"/>
      <c r="CI9" s="171"/>
      <c r="CJ9" s="171"/>
      <c r="CK9" s="171"/>
      <c r="CL9" s="171"/>
      <c r="CM9" s="171"/>
      <c r="CN9" s="171"/>
      <c r="CO9" s="171"/>
      <c r="CP9" s="171"/>
      <c r="CQ9" s="171"/>
      <c r="CR9" s="171"/>
      <c r="CS9" s="171"/>
      <c r="CT9" s="171"/>
      <c r="CU9" s="171"/>
      <c r="CV9" s="171"/>
      <c r="CW9" s="171"/>
      <c r="CX9" s="171"/>
      <c r="CY9" s="171"/>
      <c r="CZ9" s="171"/>
      <c r="DA9" s="171"/>
      <c r="DB9" s="171"/>
      <c r="DC9" s="171"/>
      <c r="DD9" s="171"/>
      <c r="DE9" s="171"/>
      <c r="DF9" s="171"/>
      <c r="DG9" s="171"/>
      <c r="DH9" s="171"/>
      <c r="DI9" s="171"/>
      <c r="DJ9" s="171"/>
      <c r="DK9" s="171"/>
      <c r="DL9" s="171"/>
      <c r="DM9" s="171"/>
      <c r="DN9" s="171"/>
      <c r="DO9" s="171"/>
      <c r="DP9" s="171"/>
      <c r="DQ9" s="171"/>
      <c r="DR9" s="171"/>
      <c r="DS9" s="171"/>
      <c r="DT9" s="171"/>
      <c r="DU9" s="171"/>
      <c r="DV9" s="171"/>
      <c r="DW9" s="171"/>
      <c r="DX9" s="171"/>
      <c r="DY9" s="171"/>
      <c r="DZ9" s="171"/>
      <c r="EA9" s="171"/>
      <c r="EB9" s="171"/>
      <c r="EC9" s="171"/>
      <c r="ED9" s="171"/>
      <c r="EE9" s="171"/>
      <c r="EF9" s="171"/>
      <c r="EG9" s="171"/>
      <c r="EH9" s="171"/>
      <c r="EI9" s="171"/>
      <c r="EJ9" s="171"/>
      <c r="EK9" s="171"/>
      <c r="EL9" s="171"/>
      <c r="EM9" s="171"/>
      <c r="EN9" s="171"/>
      <c r="EO9" s="171"/>
      <c r="EP9" s="171"/>
      <c r="EQ9" s="171"/>
      <c r="ER9" s="171"/>
      <c r="ES9" s="171"/>
      <c r="ET9" s="171"/>
      <c r="EU9" s="171"/>
      <c r="EV9" s="171"/>
      <c r="EW9" s="171"/>
      <c r="EX9" s="171"/>
      <c r="EY9" s="171"/>
      <c r="EZ9" s="171"/>
      <c r="FA9" s="171"/>
      <c r="FB9" s="171"/>
      <c r="FC9" s="171"/>
      <c r="FD9" s="171"/>
      <c r="FE9" s="171"/>
      <c r="FF9" s="171"/>
      <c r="FG9" s="171"/>
      <c r="FH9" s="171"/>
      <c r="FI9" s="171"/>
      <c r="FJ9" s="171"/>
      <c r="FK9" s="171"/>
      <c r="FL9" s="171"/>
      <c r="FM9" s="171"/>
      <c r="FN9" s="171"/>
      <c r="FO9" s="171"/>
      <c r="FP9" s="171"/>
      <c r="FQ9" s="171"/>
      <c r="FR9" s="171"/>
      <c r="FS9" s="171"/>
      <c r="FT9" s="171"/>
      <c r="FU9" s="171"/>
      <c r="FV9" s="171"/>
      <c r="FW9" s="171"/>
      <c r="FX9" s="171"/>
      <c r="FY9" s="171"/>
      <c r="FZ9" s="171"/>
      <c r="GA9" s="171"/>
      <c r="GB9" s="171"/>
      <c r="GC9" s="171"/>
      <c r="GD9" s="171"/>
      <c r="GE9" s="171"/>
      <c r="GF9" s="171"/>
      <c r="GG9" s="171"/>
      <c r="GH9" s="171"/>
      <c r="GI9" s="171"/>
      <c r="GJ9" s="171"/>
      <c r="GK9" s="171"/>
      <c r="GL9" s="171"/>
      <c r="GM9" s="171"/>
      <c r="GN9" s="171"/>
      <c r="GO9" s="171"/>
      <c r="GP9" s="171"/>
      <c r="GQ9" s="171"/>
      <c r="GR9" s="171"/>
      <c r="GS9" s="171"/>
      <c r="GT9" s="171"/>
      <c r="GU9" s="171"/>
      <c r="GV9" s="171"/>
      <c r="GW9" s="171"/>
      <c r="GX9" s="171"/>
      <c r="GY9" s="171"/>
      <c r="GZ9" s="171"/>
      <c r="HA9" s="171"/>
      <c r="HB9" s="171"/>
      <c r="HC9" s="171"/>
      <c r="HD9" s="171"/>
      <c r="HE9" s="171"/>
      <c r="HF9" s="171"/>
      <c r="HG9" s="171"/>
      <c r="HH9" s="171"/>
      <c r="HI9" s="171"/>
      <c r="HJ9" s="171"/>
      <c r="HK9" s="171"/>
      <c r="HL9" s="171"/>
      <c r="HM9" s="171"/>
      <c r="HN9" s="171"/>
      <c r="HO9" s="171"/>
      <c r="HP9" s="171"/>
      <c r="HQ9" s="171"/>
      <c r="HR9" s="171"/>
      <c r="HS9" s="171"/>
      <c r="HT9" s="171"/>
      <c r="HU9" s="171"/>
      <c r="HV9" s="171"/>
      <c r="HW9" s="171"/>
      <c r="HX9" s="171"/>
      <c r="HY9" s="171"/>
      <c r="HZ9" s="171"/>
      <c r="IA9" s="171"/>
      <c r="IB9" s="171"/>
      <c r="IC9" s="171"/>
      <c r="ID9" s="171"/>
      <c r="IE9" s="171"/>
      <c r="IF9" s="171"/>
      <c r="IG9" s="171"/>
      <c r="IH9" s="171"/>
      <c r="II9" s="171"/>
      <c r="IJ9" s="171"/>
      <c r="IK9" s="171"/>
      <c r="IL9" s="171"/>
      <c r="IM9" s="171"/>
      <c r="IN9" s="171"/>
      <c r="IO9" s="171"/>
      <c r="IP9" s="171"/>
      <c r="IQ9" s="171"/>
      <c r="IR9" s="171"/>
      <c r="IS9" s="171"/>
      <c r="IT9" s="171"/>
      <c r="IU9" s="171"/>
      <c r="IV9" s="171"/>
      <c r="IW9" s="171"/>
      <c r="IX9" s="171"/>
      <c r="IY9" s="171"/>
      <c r="IZ9" s="171"/>
      <c r="JA9" s="171"/>
      <c r="JB9" s="171"/>
      <c r="JC9" s="171"/>
      <c r="JD9" s="171"/>
      <c r="JE9" s="171"/>
      <c r="JF9" s="171"/>
      <c r="JG9" s="171"/>
      <c r="JH9" s="171"/>
      <c r="JI9" s="171"/>
      <c r="JJ9" s="171"/>
      <c r="JK9" s="171"/>
      <c r="JL9" s="171"/>
      <c r="JM9" s="171"/>
      <c r="JN9" s="171"/>
      <c r="JO9" s="171"/>
      <c r="JP9" s="171"/>
      <c r="JQ9" s="171"/>
      <c r="JR9" s="171"/>
      <c r="JS9" s="171"/>
      <c r="JT9" s="171"/>
      <c r="JU9" s="171"/>
      <c r="JV9" s="171"/>
      <c r="JW9" s="171"/>
      <c r="JX9" s="171"/>
      <c r="JY9" s="171"/>
      <c r="JZ9" s="171"/>
      <c r="KA9" s="171"/>
      <c r="KB9" s="171"/>
      <c r="KC9" s="172"/>
    </row>
    <row r="10" spans="1:289">
      <c r="A10" s="150" t="str">
        <f>IF(Create!C15&lt;&gt;"",Create!C15,"")</f>
        <v/>
      </c>
      <c r="B10" s="170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71"/>
      <c r="CI10" s="171"/>
      <c r="CJ10" s="171"/>
      <c r="CK10" s="171"/>
      <c r="CL10" s="171"/>
      <c r="CM10" s="171"/>
      <c r="CN10" s="171"/>
      <c r="CO10" s="171"/>
      <c r="CP10" s="171"/>
      <c r="CQ10" s="171"/>
      <c r="CR10" s="171"/>
      <c r="CS10" s="171"/>
      <c r="CT10" s="171"/>
      <c r="CU10" s="171"/>
      <c r="CV10" s="171"/>
      <c r="CW10" s="171"/>
      <c r="CX10" s="171"/>
      <c r="CY10" s="171"/>
      <c r="CZ10" s="171"/>
      <c r="DA10" s="171"/>
      <c r="DB10" s="171"/>
      <c r="DC10" s="171"/>
      <c r="DD10" s="171"/>
      <c r="DE10" s="171"/>
      <c r="DF10" s="171"/>
      <c r="DG10" s="171"/>
      <c r="DH10" s="171"/>
      <c r="DI10" s="171"/>
      <c r="DJ10" s="171"/>
      <c r="DK10" s="171"/>
      <c r="DL10" s="171"/>
      <c r="DM10" s="171"/>
      <c r="DN10" s="171"/>
      <c r="DO10" s="171"/>
      <c r="DP10" s="171"/>
      <c r="DQ10" s="171"/>
      <c r="DR10" s="171"/>
      <c r="DS10" s="171"/>
      <c r="DT10" s="171"/>
      <c r="DU10" s="171"/>
      <c r="DV10" s="171"/>
      <c r="DW10" s="171"/>
      <c r="DX10" s="171"/>
      <c r="DY10" s="171"/>
      <c r="DZ10" s="171"/>
      <c r="EA10" s="171"/>
      <c r="EB10" s="171"/>
      <c r="EC10" s="171"/>
      <c r="ED10" s="171"/>
      <c r="EE10" s="171"/>
      <c r="EF10" s="171"/>
      <c r="EG10" s="171"/>
      <c r="EH10" s="171"/>
      <c r="EI10" s="171"/>
      <c r="EJ10" s="171"/>
      <c r="EK10" s="171"/>
      <c r="EL10" s="171"/>
      <c r="EM10" s="171"/>
      <c r="EN10" s="171"/>
      <c r="EO10" s="171"/>
      <c r="EP10" s="171"/>
      <c r="EQ10" s="171"/>
      <c r="ER10" s="171"/>
      <c r="ES10" s="171"/>
      <c r="ET10" s="171"/>
      <c r="EU10" s="171"/>
      <c r="EV10" s="171"/>
      <c r="EW10" s="171"/>
      <c r="EX10" s="171"/>
      <c r="EY10" s="171"/>
      <c r="EZ10" s="171"/>
      <c r="FA10" s="171"/>
      <c r="FB10" s="171"/>
      <c r="FC10" s="171"/>
      <c r="FD10" s="171"/>
      <c r="FE10" s="171"/>
      <c r="FF10" s="171"/>
      <c r="FG10" s="171"/>
      <c r="FH10" s="171"/>
      <c r="FI10" s="171"/>
      <c r="FJ10" s="171"/>
      <c r="FK10" s="171"/>
      <c r="FL10" s="171"/>
      <c r="FM10" s="171"/>
      <c r="FN10" s="171"/>
      <c r="FO10" s="171"/>
      <c r="FP10" s="171"/>
      <c r="FQ10" s="171"/>
      <c r="FR10" s="171"/>
      <c r="FS10" s="171"/>
      <c r="FT10" s="171"/>
      <c r="FU10" s="171"/>
      <c r="FV10" s="171"/>
      <c r="FW10" s="171"/>
      <c r="FX10" s="171"/>
      <c r="FY10" s="171"/>
      <c r="FZ10" s="171"/>
      <c r="GA10" s="171"/>
      <c r="GB10" s="171"/>
      <c r="GC10" s="171"/>
      <c r="GD10" s="171"/>
      <c r="GE10" s="171"/>
      <c r="GF10" s="171"/>
      <c r="GG10" s="171"/>
      <c r="GH10" s="171"/>
      <c r="GI10" s="171"/>
      <c r="GJ10" s="171"/>
      <c r="GK10" s="171"/>
      <c r="GL10" s="171"/>
      <c r="GM10" s="171"/>
      <c r="GN10" s="171"/>
      <c r="GO10" s="171"/>
      <c r="GP10" s="171"/>
      <c r="GQ10" s="171"/>
      <c r="GR10" s="171"/>
      <c r="GS10" s="171"/>
      <c r="GT10" s="171"/>
      <c r="GU10" s="171"/>
      <c r="GV10" s="171"/>
      <c r="GW10" s="171"/>
      <c r="GX10" s="171"/>
      <c r="GY10" s="171"/>
      <c r="GZ10" s="171"/>
      <c r="HA10" s="171"/>
      <c r="HB10" s="171"/>
      <c r="HC10" s="171"/>
      <c r="HD10" s="171"/>
      <c r="HE10" s="171"/>
      <c r="HF10" s="171"/>
      <c r="HG10" s="171"/>
      <c r="HH10" s="171"/>
      <c r="HI10" s="171"/>
      <c r="HJ10" s="171"/>
      <c r="HK10" s="171"/>
      <c r="HL10" s="171"/>
      <c r="HM10" s="171"/>
      <c r="HN10" s="171"/>
      <c r="HO10" s="171"/>
      <c r="HP10" s="171"/>
      <c r="HQ10" s="171"/>
      <c r="HR10" s="171"/>
      <c r="HS10" s="171"/>
      <c r="HT10" s="171"/>
      <c r="HU10" s="171"/>
      <c r="HV10" s="171"/>
      <c r="HW10" s="171"/>
      <c r="HX10" s="171"/>
      <c r="HY10" s="171"/>
      <c r="HZ10" s="171"/>
      <c r="IA10" s="171"/>
      <c r="IB10" s="171"/>
      <c r="IC10" s="171"/>
      <c r="ID10" s="171"/>
      <c r="IE10" s="171"/>
      <c r="IF10" s="171"/>
      <c r="IG10" s="171"/>
      <c r="IH10" s="171"/>
      <c r="II10" s="171"/>
      <c r="IJ10" s="171"/>
      <c r="IK10" s="171"/>
      <c r="IL10" s="171"/>
      <c r="IM10" s="171"/>
      <c r="IN10" s="171"/>
      <c r="IO10" s="171"/>
      <c r="IP10" s="171"/>
      <c r="IQ10" s="171"/>
      <c r="IR10" s="171"/>
      <c r="IS10" s="171"/>
      <c r="IT10" s="171"/>
      <c r="IU10" s="171"/>
      <c r="IV10" s="171"/>
      <c r="IW10" s="171"/>
      <c r="IX10" s="171"/>
      <c r="IY10" s="171"/>
      <c r="IZ10" s="171"/>
      <c r="JA10" s="171"/>
      <c r="JB10" s="171"/>
      <c r="JC10" s="171"/>
      <c r="JD10" s="171"/>
      <c r="JE10" s="171"/>
      <c r="JF10" s="171"/>
      <c r="JG10" s="171"/>
      <c r="JH10" s="171"/>
      <c r="JI10" s="171"/>
      <c r="JJ10" s="171"/>
      <c r="JK10" s="171"/>
      <c r="JL10" s="171"/>
      <c r="JM10" s="171"/>
      <c r="JN10" s="171"/>
      <c r="JO10" s="171"/>
      <c r="JP10" s="171"/>
      <c r="JQ10" s="171"/>
      <c r="JR10" s="171"/>
      <c r="JS10" s="171"/>
      <c r="JT10" s="171"/>
      <c r="JU10" s="171"/>
      <c r="JV10" s="171"/>
      <c r="JW10" s="171"/>
      <c r="JX10" s="171"/>
      <c r="JY10" s="171"/>
      <c r="JZ10" s="171"/>
      <c r="KA10" s="171"/>
      <c r="KB10" s="171"/>
      <c r="KC10" s="172"/>
    </row>
    <row r="11" spans="1:289">
      <c r="A11" s="150" t="str">
        <f>IF(Create!C16&lt;&gt;"",Create!C16,"")</f>
        <v/>
      </c>
      <c r="B11" s="170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71"/>
      <c r="BI11" s="171"/>
      <c r="BJ11" s="171"/>
      <c r="BK11" s="171"/>
      <c r="BL11" s="171"/>
      <c r="BM11" s="171"/>
      <c r="BN11" s="171"/>
      <c r="BO11" s="171"/>
      <c r="BP11" s="171"/>
      <c r="BQ11" s="171"/>
      <c r="BR11" s="171"/>
      <c r="BS11" s="171"/>
      <c r="BT11" s="171"/>
      <c r="BU11" s="171"/>
      <c r="BV11" s="171"/>
      <c r="BW11" s="171"/>
      <c r="BX11" s="171"/>
      <c r="BY11" s="171"/>
      <c r="BZ11" s="171"/>
      <c r="CA11" s="171"/>
      <c r="CB11" s="171"/>
      <c r="CC11" s="171"/>
      <c r="CD11" s="171"/>
      <c r="CE11" s="171"/>
      <c r="CF11" s="171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2"/>
    </row>
    <row r="12" spans="1:289">
      <c r="A12" s="150" t="str">
        <f>IF(Create!C17&lt;&gt;"",Create!C17,"")</f>
        <v/>
      </c>
      <c r="B12" s="170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171"/>
      <c r="CD12" s="171"/>
      <c r="CE12" s="171"/>
      <c r="CF12" s="171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2"/>
    </row>
    <row r="13" spans="1:289">
      <c r="A13" s="150" t="str">
        <f>IF(Create!C18&lt;&gt;"",Create!C18,"")</f>
        <v/>
      </c>
      <c r="B13" s="170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2"/>
    </row>
    <row r="14" spans="1:289">
      <c r="A14" s="150" t="str">
        <f>IF(Create!C19&lt;&gt;"",Create!C19,"")</f>
        <v/>
      </c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1"/>
      <c r="CF14" s="171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2"/>
    </row>
    <row r="15" spans="1:289">
      <c r="A15" s="150" t="str">
        <f>IF(Create!C20&lt;&gt;"",Create!C20,"")</f>
        <v/>
      </c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1"/>
      <c r="CF15" s="171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2"/>
    </row>
    <row r="16" spans="1:289">
      <c r="A16" s="150" t="str">
        <f>IF(Create!C21&lt;&gt;"",Create!C21,"")</f>
        <v/>
      </c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1"/>
      <c r="CF16" s="171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2"/>
    </row>
    <row r="17" spans="1:289">
      <c r="A17" s="150" t="str">
        <f>IF(Create!C22&lt;&gt;"",Create!C22,"")</f>
        <v/>
      </c>
      <c r="B17" s="170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171"/>
      <c r="CD17" s="171"/>
      <c r="CE17" s="171"/>
      <c r="CF17" s="171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2"/>
    </row>
    <row r="18" spans="1:289">
      <c r="A18" s="150" t="str">
        <f>IF(Create!C23&lt;&gt;"",Create!C23,"")</f>
        <v/>
      </c>
      <c r="B18" s="170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71"/>
      <c r="BI18" s="171"/>
      <c r="BJ18" s="171"/>
      <c r="BK18" s="171"/>
      <c r="BL18" s="171"/>
      <c r="BM18" s="171"/>
      <c r="BN18" s="171"/>
      <c r="BO18" s="171"/>
      <c r="BP18" s="171"/>
      <c r="BQ18" s="171"/>
      <c r="BR18" s="171"/>
      <c r="BS18" s="171"/>
      <c r="BT18" s="171"/>
      <c r="BU18" s="171"/>
      <c r="BV18" s="171"/>
      <c r="BW18" s="171"/>
      <c r="BX18" s="171"/>
      <c r="BY18" s="171"/>
      <c r="BZ18" s="171"/>
      <c r="CA18" s="171"/>
      <c r="CB18" s="171"/>
      <c r="CC18" s="171"/>
      <c r="CD18" s="171"/>
      <c r="CE18" s="171"/>
      <c r="CF18" s="171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2"/>
    </row>
    <row r="19" spans="1:289">
      <c r="A19" s="150" t="str">
        <f>IF(Create!C24&lt;&gt;"",Create!C24,"")</f>
        <v/>
      </c>
      <c r="B19" s="170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1"/>
      <c r="BV19" s="171"/>
      <c r="BW19" s="171"/>
      <c r="BX19" s="171"/>
      <c r="BY19" s="171"/>
      <c r="BZ19" s="171"/>
      <c r="CA19" s="171"/>
      <c r="CB19" s="171"/>
      <c r="CC19" s="171"/>
      <c r="CD19" s="171"/>
      <c r="CE19" s="171"/>
      <c r="CF19" s="171"/>
      <c r="CG19" s="171"/>
      <c r="CH19" s="171"/>
      <c r="CI19" s="171"/>
      <c r="CJ19" s="171"/>
      <c r="CK19" s="171"/>
      <c r="CL19" s="171"/>
      <c r="CM19" s="171"/>
      <c r="CN19" s="171"/>
      <c r="CO19" s="171"/>
      <c r="CP19" s="171"/>
      <c r="CQ19" s="171"/>
      <c r="CR19" s="171"/>
      <c r="CS19" s="171"/>
      <c r="CT19" s="171"/>
      <c r="CU19" s="171"/>
      <c r="CV19" s="171"/>
      <c r="CW19" s="171"/>
      <c r="CX19" s="171"/>
      <c r="CY19" s="171"/>
      <c r="CZ19" s="171"/>
      <c r="DA19" s="171"/>
      <c r="DB19" s="171"/>
      <c r="DC19" s="171"/>
      <c r="DD19" s="171"/>
      <c r="DE19" s="171"/>
      <c r="DF19" s="171"/>
      <c r="DG19" s="171"/>
      <c r="DH19" s="171"/>
      <c r="DI19" s="171"/>
      <c r="DJ19" s="171"/>
      <c r="DK19" s="171"/>
      <c r="DL19" s="171"/>
      <c r="DM19" s="171"/>
      <c r="DN19" s="171"/>
      <c r="DO19" s="171"/>
      <c r="DP19" s="171"/>
      <c r="DQ19" s="171"/>
      <c r="DR19" s="171"/>
      <c r="DS19" s="171"/>
      <c r="DT19" s="171"/>
      <c r="DU19" s="171"/>
      <c r="DV19" s="171"/>
      <c r="DW19" s="171"/>
      <c r="DX19" s="171"/>
      <c r="DY19" s="171"/>
      <c r="DZ19" s="171"/>
      <c r="EA19" s="171"/>
      <c r="EB19" s="171"/>
      <c r="EC19" s="171"/>
      <c r="ED19" s="171"/>
      <c r="EE19" s="171"/>
      <c r="EF19" s="171"/>
      <c r="EG19" s="171"/>
      <c r="EH19" s="171"/>
      <c r="EI19" s="171"/>
      <c r="EJ19" s="171"/>
      <c r="EK19" s="171"/>
      <c r="EL19" s="171"/>
      <c r="EM19" s="171"/>
      <c r="EN19" s="171"/>
      <c r="EO19" s="171"/>
      <c r="EP19" s="171"/>
      <c r="EQ19" s="171"/>
      <c r="ER19" s="171"/>
      <c r="ES19" s="171"/>
      <c r="ET19" s="171"/>
      <c r="EU19" s="171"/>
      <c r="EV19" s="171"/>
      <c r="EW19" s="171"/>
      <c r="EX19" s="171"/>
      <c r="EY19" s="171"/>
      <c r="EZ19" s="171"/>
      <c r="FA19" s="171"/>
      <c r="FB19" s="171"/>
      <c r="FC19" s="171"/>
      <c r="FD19" s="171"/>
      <c r="FE19" s="171"/>
      <c r="FF19" s="171"/>
      <c r="FG19" s="171"/>
      <c r="FH19" s="171"/>
      <c r="FI19" s="171"/>
      <c r="FJ19" s="171"/>
      <c r="FK19" s="171"/>
      <c r="FL19" s="171"/>
      <c r="FM19" s="171"/>
      <c r="FN19" s="171"/>
      <c r="FO19" s="171"/>
      <c r="FP19" s="171"/>
      <c r="FQ19" s="171"/>
      <c r="FR19" s="171"/>
      <c r="FS19" s="171"/>
      <c r="FT19" s="171"/>
      <c r="FU19" s="171"/>
      <c r="FV19" s="171"/>
      <c r="FW19" s="171"/>
      <c r="FX19" s="171"/>
      <c r="FY19" s="171"/>
      <c r="FZ19" s="171"/>
      <c r="GA19" s="171"/>
      <c r="GB19" s="171"/>
      <c r="GC19" s="171"/>
      <c r="GD19" s="171"/>
      <c r="GE19" s="171"/>
      <c r="GF19" s="171"/>
      <c r="GG19" s="171"/>
      <c r="GH19" s="171"/>
      <c r="GI19" s="171"/>
      <c r="GJ19" s="171"/>
      <c r="GK19" s="171"/>
      <c r="GL19" s="171"/>
      <c r="GM19" s="171"/>
      <c r="GN19" s="171"/>
      <c r="GO19" s="171"/>
      <c r="GP19" s="171"/>
      <c r="GQ19" s="171"/>
      <c r="GR19" s="171"/>
      <c r="GS19" s="171"/>
      <c r="GT19" s="171"/>
      <c r="GU19" s="171"/>
      <c r="GV19" s="171"/>
      <c r="GW19" s="171"/>
      <c r="GX19" s="171"/>
      <c r="GY19" s="171"/>
      <c r="GZ19" s="171"/>
      <c r="HA19" s="171"/>
      <c r="HB19" s="171"/>
      <c r="HC19" s="171"/>
      <c r="HD19" s="171"/>
      <c r="HE19" s="171"/>
      <c r="HF19" s="171"/>
      <c r="HG19" s="171"/>
      <c r="HH19" s="171"/>
      <c r="HI19" s="171"/>
      <c r="HJ19" s="171"/>
      <c r="HK19" s="171"/>
      <c r="HL19" s="171"/>
      <c r="HM19" s="171"/>
      <c r="HN19" s="171"/>
      <c r="HO19" s="171"/>
      <c r="HP19" s="171"/>
      <c r="HQ19" s="171"/>
      <c r="HR19" s="171"/>
      <c r="HS19" s="171"/>
      <c r="HT19" s="171"/>
      <c r="HU19" s="171"/>
      <c r="HV19" s="171"/>
      <c r="HW19" s="171"/>
      <c r="HX19" s="171"/>
      <c r="HY19" s="171"/>
      <c r="HZ19" s="171"/>
      <c r="IA19" s="171"/>
      <c r="IB19" s="171"/>
      <c r="IC19" s="171"/>
      <c r="ID19" s="171"/>
      <c r="IE19" s="171"/>
      <c r="IF19" s="171"/>
      <c r="IG19" s="171"/>
      <c r="IH19" s="171"/>
      <c r="II19" s="171"/>
      <c r="IJ19" s="171"/>
      <c r="IK19" s="171"/>
      <c r="IL19" s="171"/>
      <c r="IM19" s="171"/>
      <c r="IN19" s="171"/>
      <c r="IO19" s="171"/>
      <c r="IP19" s="171"/>
      <c r="IQ19" s="171"/>
      <c r="IR19" s="171"/>
      <c r="IS19" s="171"/>
      <c r="IT19" s="171"/>
      <c r="IU19" s="171"/>
      <c r="IV19" s="171"/>
      <c r="IW19" s="171"/>
      <c r="IX19" s="171"/>
      <c r="IY19" s="171"/>
      <c r="IZ19" s="171"/>
      <c r="JA19" s="171"/>
      <c r="JB19" s="171"/>
      <c r="JC19" s="171"/>
      <c r="JD19" s="171"/>
      <c r="JE19" s="171"/>
      <c r="JF19" s="171"/>
      <c r="JG19" s="171"/>
      <c r="JH19" s="171"/>
      <c r="JI19" s="171"/>
      <c r="JJ19" s="171"/>
      <c r="JK19" s="171"/>
      <c r="JL19" s="171"/>
      <c r="JM19" s="171"/>
      <c r="JN19" s="171"/>
      <c r="JO19" s="171"/>
      <c r="JP19" s="171"/>
      <c r="JQ19" s="171"/>
      <c r="JR19" s="171"/>
      <c r="JS19" s="171"/>
      <c r="JT19" s="171"/>
      <c r="JU19" s="171"/>
      <c r="JV19" s="171"/>
      <c r="JW19" s="171"/>
      <c r="JX19" s="171"/>
      <c r="JY19" s="171"/>
      <c r="JZ19" s="171"/>
      <c r="KA19" s="171"/>
      <c r="KB19" s="171"/>
      <c r="KC19" s="172"/>
    </row>
    <row r="20" spans="1:289">
      <c r="A20" s="150" t="str">
        <f>IF(Create!C25&lt;&gt;"",Create!C25,"")</f>
        <v/>
      </c>
      <c r="B20" s="170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1"/>
      <c r="BV20" s="171"/>
      <c r="BW20" s="171"/>
      <c r="BX20" s="171"/>
      <c r="BY20" s="171"/>
      <c r="BZ20" s="171"/>
      <c r="CA20" s="171"/>
      <c r="CB20" s="171"/>
      <c r="CC20" s="171"/>
      <c r="CD20" s="171"/>
      <c r="CE20" s="171"/>
      <c r="CF20" s="171"/>
      <c r="CG20" s="171"/>
      <c r="CH20" s="171"/>
      <c r="CI20" s="171"/>
      <c r="CJ20" s="171"/>
      <c r="CK20" s="171"/>
      <c r="CL20" s="171"/>
      <c r="CM20" s="171"/>
      <c r="CN20" s="171"/>
      <c r="CO20" s="171"/>
      <c r="CP20" s="171"/>
      <c r="CQ20" s="171"/>
      <c r="CR20" s="171"/>
      <c r="CS20" s="171"/>
      <c r="CT20" s="171"/>
      <c r="CU20" s="171"/>
      <c r="CV20" s="171"/>
      <c r="CW20" s="171"/>
      <c r="CX20" s="171"/>
      <c r="CY20" s="171"/>
      <c r="CZ20" s="171"/>
      <c r="DA20" s="171"/>
      <c r="DB20" s="171"/>
      <c r="DC20" s="171"/>
      <c r="DD20" s="171"/>
      <c r="DE20" s="171"/>
      <c r="DF20" s="171"/>
      <c r="DG20" s="171"/>
      <c r="DH20" s="171"/>
      <c r="DI20" s="171"/>
      <c r="DJ20" s="171"/>
      <c r="DK20" s="171"/>
      <c r="DL20" s="171"/>
      <c r="DM20" s="171"/>
      <c r="DN20" s="171"/>
      <c r="DO20" s="171"/>
      <c r="DP20" s="171"/>
      <c r="DQ20" s="171"/>
      <c r="DR20" s="171"/>
      <c r="DS20" s="171"/>
      <c r="DT20" s="171"/>
      <c r="DU20" s="171"/>
      <c r="DV20" s="171"/>
      <c r="DW20" s="171"/>
      <c r="DX20" s="171"/>
      <c r="DY20" s="171"/>
      <c r="DZ20" s="171"/>
      <c r="EA20" s="171"/>
      <c r="EB20" s="171"/>
      <c r="EC20" s="171"/>
      <c r="ED20" s="171"/>
      <c r="EE20" s="171"/>
      <c r="EF20" s="171"/>
      <c r="EG20" s="171"/>
      <c r="EH20" s="171"/>
      <c r="EI20" s="171"/>
      <c r="EJ20" s="171"/>
      <c r="EK20" s="171"/>
      <c r="EL20" s="171"/>
      <c r="EM20" s="171"/>
      <c r="EN20" s="171"/>
      <c r="EO20" s="171"/>
      <c r="EP20" s="171"/>
      <c r="EQ20" s="171"/>
      <c r="ER20" s="171"/>
      <c r="ES20" s="171"/>
      <c r="ET20" s="171"/>
      <c r="EU20" s="171"/>
      <c r="EV20" s="171"/>
      <c r="EW20" s="171"/>
      <c r="EX20" s="171"/>
      <c r="EY20" s="171"/>
      <c r="EZ20" s="171"/>
      <c r="FA20" s="171"/>
      <c r="FB20" s="171"/>
      <c r="FC20" s="171"/>
      <c r="FD20" s="171"/>
      <c r="FE20" s="171"/>
      <c r="FF20" s="171"/>
      <c r="FG20" s="171"/>
      <c r="FH20" s="171"/>
      <c r="FI20" s="171"/>
      <c r="FJ20" s="171"/>
      <c r="FK20" s="171"/>
      <c r="FL20" s="171"/>
      <c r="FM20" s="171"/>
      <c r="FN20" s="171"/>
      <c r="FO20" s="171"/>
      <c r="FP20" s="171"/>
      <c r="FQ20" s="171"/>
      <c r="FR20" s="171"/>
      <c r="FS20" s="171"/>
      <c r="FT20" s="171"/>
      <c r="FU20" s="171"/>
      <c r="FV20" s="171"/>
      <c r="FW20" s="171"/>
      <c r="FX20" s="171"/>
      <c r="FY20" s="171"/>
      <c r="FZ20" s="171"/>
      <c r="GA20" s="171"/>
      <c r="GB20" s="171"/>
      <c r="GC20" s="171"/>
      <c r="GD20" s="171"/>
      <c r="GE20" s="171"/>
      <c r="GF20" s="171"/>
      <c r="GG20" s="171"/>
      <c r="GH20" s="171"/>
      <c r="GI20" s="171"/>
      <c r="GJ20" s="171"/>
      <c r="GK20" s="171"/>
      <c r="GL20" s="171"/>
      <c r="GM20" s="171"/>
      <c r="GN20" s="171"/>
      <c r="GO20" s="171"/>
      <c r="GP20" s="171"/>
      <c r="GQ20" s="171"/>
      <c r="GR20" s="171"/>
      <c r="GS20" s="171"/>
      <c r="GT20" s="171"/>
      <c r="GU20" s="171"/>
      <c r="GV20" s="171"/>
      <c r="GW20" s="171"/>
      <c r="GX20" s="171"/>
      <c r="GY20" s="171"/>
      <c r="GZ20" s="171"/>
      <c r="HA20" s="171"/>
      <c r="HB20" s="171"/>
      <c r="HC20" s="171"/>
      <c r="HD20" s="171"/>
      <c r="HE20" s="171"/>
      <c r="HF20" s="171"/>
      <c r="HG20" s="171"/>
      <c r="HH20" s="171"/>
      <c r="HI20" s="171"/>
      <c r="HJ20" s="171"/>
      <c r="HK20" s="171"/>
      <c r="HL20" s="171"/>
      <c r="HM20" s="171"/>
      <c r="HN20" s="171"/>
      <c r="HO20" s="171"/>
      <c r="HP20" s="171"/>
      <c r="HQ20" s="171"/>
      <c r="HR20" s="171"/>
      <c r="HS20" s="171"/>
      <c r="HT20" s="171"/>
      <c r="HU20" s="171"/>
      <c r="HV20" s="171"/>
      <c r="HW20" s="171"/>
      <c r="HX20" s="171"/>
      <c r="HY20" s="171"/>
      <c r="HZ20" s="171"/>
      <c r="IA20" s="171"/>
      <c r="IB20" s="171"/>
      <c r="IC20" s="171"/>
      <c r="ID20" s="171"/>
      <c r="IE20" s="171"/>
      <c r="IF20" s="171"/>
      <c r="IG20" s="171"/>
      <c r="IH20" s="171"/>
      <c r="II20" s="171"/>
      <c r="IJ20" s="171"/>
      <c r="IK20" s="171"/>
      <c r="IL20" s="171"/>
      <c r="IM20" s="171"/>
      <c r="IN20" s="171"/>
      <c r="IO20" s="171"/>
      <c r="IP20" s="171"/>
      <c r="IQ20" s="171"/>
      <c r="IR20" s="171"/>
      <c r="IS20" s="171"/>
      <c r="IT20" s="171"/>
      <c r="IU20" s="171"/>
      <c r="IV20" s="171"/>
      <c r="IW20" s="171"/>
      <c r="IX20" s="171"/>
      <c r="IY20" s="171"/>
      <c r="IZ20" s="171"/>
      <c r="JA20" s="171"/>
      <c r="JB20" s="171"/>
      <c r="JC20" s="171"/>
      <c r="JD20" s="171"/>
      <c r="JE20" s="171"/>
      <c r="JF20" s="171"/>
      <c r="JG20" s="171"/>
      <c r="JH20" s="171"/>
      <c r="JI20" s="171"/>
      <c r="JJ20" s="171"/>
      <c r="JK20" s="171"/>
      <c r="JL20" s="171"/>
      <c r="JM20" s="171"/>
      <c r="JN20" s="171"/>
      <c r="JO20" s="171"/>
      <c r="JP20" s="171"/>
      <c r="JQ20" s="171"/>
      <c r="JR20" s="171"/>
      <c r="JS20" s="171"/>
      <c r="JT20" s="171"/>
      <c r="JU20" s="171"/>
      <c r="JV20" s="171"/>
      <c r="JW20" s="171"/>
      <c r="JX20" s="171"/>
      <c r="JY20" s="171"/>
      <c r="JZ20" s="171"/>
      <c r="KA20" s="171"/>
      <c r="KB20" s="171"/>
      <c r="KC20" s="172"/>
    </row>
    <row r="21" spans="1:289">
      <c r="A21" s="150" t="str">
        <f>IF(Create!C26&lt;&gt;"",Create!C26,"")</f>
        <v/>
      </c>
      <c r="B21" s="170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71"/>
      <c r="BT21" s="171"/>
      <c r="BU21" s="171"/>
      <c r="BV21" s="171"/>
      <c r="BW21" s="171"/>
      <c r="BX21" s="171"/>
      <c r="BY21" s="171"/>
      <c r="BZ21" s="171"/>
      <c r="CA21" s="171"/>
      <c r="CB21" s="171"/>
      <c r="CC21" s="171"/>
      <c r="CD21" s="171"/>
      <c r="CE21" s="171"/>
      <c r="CF21" s="171"/>
      <c r="CG21" s="171"/>
      <c r="CH21" s="171"/>
      <c r="CI21" s="171"/>
      <c r="CJ21" s="171"/>
      <c r="CK21" s="171"/>
      <c r="CL21" s="171"/>
      <c r="CM21" s="171"/>
      <c r="CN21" s="171"/>
      <c r="CO21" s="171"/>
      <c r="CP21" s="171"/>
      <c r="CQ21" s="171"/>
      <c r="CR21" s="171"/>
      <c r="CS21" s="171"/>
      <c r="CT21" s="171"/>
      <c r="CU21" s="171"/>
      <c r="CV21" s="171"/>
      <c r="CW21" s="171"/>
      <c r="CX21" s="171"/>
      <c r="CY21" s="171"/>
      <c r="CZ21" s="171"/>
      <c r="DA21" s="171"/>
      <c r="DB21" s="171"/>
      <c r="DC21" s="171"/>
      <c r="DD21" s="171"/>
      <c r="DE21" s="171"/>
      <c r="DF21" s="171"/>
      <c r="DG21" s="171"/>
      <c r="DH21" s="171"/>
      <c r="DI21" s="171"/>
      <c r="DJ21" s="171"/>
      <c r="DK21" s="171"/>
      <c r="DL21" s="171"/>
      <c r="DM21" s="171"/>
      <c r="DN21" s="171"/>
      <c r="DO21" s="171"/>
      <c r="DP21" s="171"/>
      <c r="DQ21" s="171"/>
      <c r="DR21" s="171"/>
      <c r="DS21" s="171"/>
      <c r="DT21" s="171"/>
      <c r="DU21" s="171"/>
      <c r="DV21" s="171"/>
      <c r="DW21" s="171"/>
      <c r="DX21" s="171"/>
      <c r="DY21" s="171"/>
      <c r="DZ21" s="171"/>
      <c r="EA21" s="171"/>
      <c r="EB21" s="171"/>
      <c r="EC21" s="171"/>
      <c r="ED21" s="171"/>
      <c r="EE21" s="171"/>
      <c r="EF21" s="171"/>
      <c r="EG21" s="171"/>
      <c r="EH21" s="171"/>
      <c r="EI21" s="171"/>
      <c r="EJ21" s="171"/>
      <c r="EK21" s="171"/>
      <c r="EL21" s="171"/>
      <c r="EM21" s="171"/>
      <c r="EN21" s="171"/>
      <c r="EO21" s="171"/>
      <c r="EP21" s="171"/>
      <c r="EQ21" s="171"/>
      <c r="ER21" s="171"/>
      <c r="ES21" s="171"/>
      <c r="ET21" s="171"/>
      <c r="EU21" s="171"/>
      <c r="EV21" s="171"/>
      <c r="EW21" s="171"/>
      <c r="EX21" s="171"/>
      <c r="EY21" s="171"/>
      <c r="EZ21" s="171"/>
      <c r="FA21" s="171"/>
      <c r="FB21" s="171"/>
      <c r="FC21" s="171"/>
      <c r="FD21" s="171"/>
      <c r="FE21" s="171"/>
      <c r="FF21" s="171"/>
      <c r="FG21" s="171"/>
      <c r="FH21" s="171"/>
      <c r="FI21" s="171"/>
      <c r="FJ21" s="171"/>
      <c r="FK21" s="171"/>
      <c r="FL21" s="171"/>
      <c r="FM21" s="171"/>
      <c r="FN21" s="171"/>
      <c r="FO21" s="171"/>
      <c r="FP21" s="171"/>
      <c r="FQ21" s="171"/>
      <c r="FR21" s="171"/>
      <c r="FS21" s="171"/>
      <c r="FT21" s="171"/>
      <c r="FU21" s="171"/>
      <c r="FV21" s="171"/>
      <c r="FW21" s="171"/>
      <c r="FX21" s="171"/>
      <c r="FY21" s="171"/>
      <c r="FZ21" s="171"/>
      <c r="GA21" s="171"/>
      <c r="GB21" s="171"/>
      <c r="GC21" s="171"/>
      <c r="GD21" s="171"/>
      <c r="GE21" s="171"/>
      <c r="GF21" s="171"/>
      <c r="GG21" s="171"/>
      <c r="GH21" s="171"/>
      <c r="GI21" s="171"/>
      <c r="GJ21" s="171"/>
      <c r="GK21" s="171"/>
      <c r="GL21" s="171"/>
      <c r="GM21" s="171"/>
      <c r="GN21" s="171"/>
      <c r="GO21" s="171"/>
      <c r="GP21" s="171"/>
      <c r="GQ21" s="171"/>
      <c r="GR21" s="171"/>
      <c r="GS21" s="171"/>
      <c r="GT21" s="171"/>
      <c r="GU21" s="171"/>
      <c r="GV21" s="171"/>
      <c r="GW21" s="171"/>
      <c r="GX21" s="171"/>
      <c r="GY21" s="171"/>
      <c r="GZ21" s="171"/>
      <c r="HA21" s="171"/>
      <c r="HB21" s="171"/>
      <c r="HC21" s="171"/>
      <c r="HD21" s="171"/>
      <c r="HE21" s="171"/>
      <c r="HF21" s="171"/>
      <c r="HG21" s="171"/>
      <c r="HH21" s="171"/>
      <c r="HI21" s="171"/>
      <c r="HJ21" s="171"/>
      <c r="HK21" s="171"/>
      <c r="HL21" s="171"/>
      <c r="HM21" s="171"/>
      <c r="HN21" s="171"/>
      <c r="HO21" s="171"/>
      <c r="HP21" s="171"/>
      <c r="HQ21" s="171"/>
      <c r="HR21" s="171"/>
      <c r="HS21" s="171"/>
      <c r="HT21" s="171"/>
      <c r="HU21" s="171"/>
      <c r="HV21" s="171"/>
      <c r="HW21" s="171"/>
      <c r="HX21" s="171"/>
      <c r="HY21" s="171"/>
      <c r="HZ21" s="171"/>
      <c r="IA21" s="171"/>
      <c r="IB21" s="171"/>
      <c r="IC21" s="171"/>
      <c r="ID21" s="171"/>
      <c r="IE21" s="171"/>
      <c r="IF21" s="171"/>
      <c r="IG21" s="171"/>
      <c r="IH21" s="171"/>
      <c r="II21" s="171"/>
      <c r="IJ21" s="171"/>
      <c r="IK21" s="171"/>
      <c r="IL21" s="171"/>
      <c r="IM21" s="171"/>
      <c r="IN21" s="171"/>
      <c r="IO21" s="171"/>
      <c r="IP21" s="171"/>
      <c r="IQ21" s="171"/>
      <c r="IR21" s="171"/>
      <c r="IS21" s="171"/>
      <c r="IT21" s="171"/>
      <c r="IU21" s="171"/>
      <c r="IV21" s="171"/>
      <c r="IW21" s="171"/>
      <c r="IX21" s="171"/>
      <c r="IY21" s="171"/>
      <c r="IZ21" s="171"/>
      <c r="JA21" s="171"/>
      <c r="JB21" s="171"/>
      <c r="JC21" s="171"/>
      <c r="JD21" s="171"/>
      <c r="JE21" s="171"/>
      <c r="JF21" s="171"/>
      <c r="JG21" s="171"/>
      <c r="JH21" s="171"/>
      <c r="JI21" s="171"/>
      <c r="JJ21" s="171"/>
      <c r="JK21" s="171"/>
      <c r="JL21" s="171"/>
      <c r="JM21" s="171"/>
      <c r="JN21" s="171"/>
      <c r="JO21" s="171"/>
      <c r="JP21" s="171"/>
      <c r="JQ21" s="171"/>
      <c r="JR21" s="171"/>
      <c r="JS21" s="171"/>
      <c r="JT21" s="171"/>
      <c r="JU21" s="171"/>
      <c r="JV21" s="171"/>
      <c r="JW21" s="171"/>
      <c r="JX21" s="171"/>
      <c r="JY21" s="171"/>
      <c r="JZ21" s="171"/>
      <c r="KA21" s="171"/>
      <c r="KB21" s="171"/>
      <c r="KC21" s="172"/>
    </row>
    <row r="22" spans="1:289">
      <c r="A22" s="150" t="str">
        <f>IF(Create!C27&lt;&gt;"",Create!C27,"")</f>
        <v/>
      </c>
      <c r="B22" s="170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171"/>
      <c r="CD22" s="171"/>
      <c r="CE22" s="171"/>
      <c r="CF22" s="171"/>
      <c r="CG22" s="171"/>
      <c r="CH22" s="171"/>
      <c r="CI22" s="171"/>
      <c r="CJ22" s="171"/>
      <c r="CK22" s="171"/>
      <c r="CL22" s="171"/>
      <c r="CM22" s="171"/>
      <c r="CN22" s="171"/>
      <c r="CO22" s="171"/>
      <c r="CP22" s="171"/>
      <c r="CQ22" s="171"/>
      <c r="CR22" s="171"/>
      <c r="CS22" s="171"/>
      <c r="CT22" s="171"/>
      <c r="CU22" s="171"/>
      <c r="CV22" s="171"/>
      <c r="CW22" s="171"/>
      <c r="CX22" s="171"/>
      <c r="CY22" s="171"/>
      <c r="CZ22" s="171"/>
      <c r="DA22" s="171"/>
      <c r="DB22" s="171"/>
      <c r="DC22" s="171"/>
      <c r="DD22" s="171"/>
      <c r="DE22" s="171"/>
      <c r="DF22" s="171"/>
      <c r="DG22" s="171"/>
      <c r="DH22" s="171"/>
      <c r="DI22" s="171"/>
      <c r="DJ22" s="171"/>
      <c r="DK22" s="171"/>
      <c r="DL22" s="171"/>
      <c r="DM22" s="171"/>
      <c r="DN22" s="171"/>
      <c r="DO22" s="171"/>
      <c r="DP22" s="171"/>
      <c r="DQ22" s="171"/>
      <c r="DR22" s="171"/>
      <c r="DS22" s="171"/>
      <c r="DT22" s="171"/>
      <c r="DU22" s="171"/>
      <c r="DV22" s="171"/>
      <c r="DW22" s="171"/>
      <c r="DX22" s="171"/>
      <c r="DY22" s="171"/>
      <c r="DZ22" s="171"/>
      <c r="EA22" s="171"/>
      <c r="EB22" s="171"/>
      <c r="EC22" s="171"/>
      <c r="ED22" s="171"/>
      <c r="EE22" s="171"/>
      <c r="EF22" s="171"/>
      <c r="EG22" s="171"/>
      <c r="EH22" s="171"/>
      <c r="EI22" s="171"/>
      <c r="EJ22" s="171"/>
      <c r="EK22" s="171"/>
      <c r="EL22" s="171"/>
      <c r="EM22" s="171"/>
      <c r="EN22" s="171"/>
      <c r="EO22" s="171"/>
      <c r="EP22" s="171"/>
      <c r="EQ22" s="171"/>
      <c r="ER22" s="171"/>
      <c r="ES22" s="171"/>
      <c r="ET22" s="171"/>
      <c r="EU22" s="171"/>
      <c r="EV22" s="171"/>
      <c r="EW22" s="171"/>
      <c r="EX22" s="171"/>
      <c r="EY22" s="171"/>
      <c r="EZ22" s="171"/>
      <c r="FA22" s="171"/>
      <c r="FB22" s="171"/>
      <c r="FC22" s="171"/>
      <c r="FD22" s="171"/>
      <c r="FE22" s="171"/>
      <c r="FF22" s="171"/>
      <c r="FG22" s="171"/>
      <c r="FH22" s="171"/>
      <c r="FI22" s="171"/>
      <c r="FJ22" s="171"/>
      <c r="FK22" s="171"/>
      <c r="FL22" s="171"/>
      <c r="FM22" s="171"/>
      <c r="FN22" s="171"/>
      <c r="FO22" s="171"/>
      <c r="FP22" s="171"/>
      <c r="FQ22" s="171"/>
      <c r="FR22" s="171"/>
      <c r="FS22" s="171"/>
      <c r="FT22" s="171"/>
      <c r="FU22" s="171"/>
      <c r="FV22" s="171"/>
      <c r="FW22" s="171"/>
      <c r="FX22" s="171"/>
      <c r="FY22" s="171"/>
      <c r="FZ22" s="171"/>
      <c r="GA22" s="171"/>
      <c r="GB22" s="171"/>
      <c r="GC22" s="171"/>
      <c r="GD22" s="171"/>
      <c r="GE22" s="171"/>
      <c r="GF22" s="171"/>
      <c r="GG22" s="171"/>
      <c r="GH22" s="171"/>
      <c r="GI22" s="171"/>
      <c r="GJ22" s="171"/>
      <c r="GK22" s="171"/>
      <c r="GL22" s="171"/>
      <c r="GM22" s="171"/>
      <c r="GN22" s="171"/>
      <c r="GO22" s="171"/>
      <c r="GP22" s="171"/>
      <c r="GQ22" s="171"/>
      <c r="GR22" s="171"/>
      <c r="GS22" s="171"/>
      <c r="GT22" s="171"/>
      <c r="GU22" s="171"/>
      <c r="GV22" s="171"/>
      <c r="GW22" s="171"/>
      <c r="GX22" s="171"/>
      <c r="GY22" s="171"/>
      <c r="GZ22" s="171"/>
      <c r="HA22" s="171"/>
      <c r="HB22" s="171"/>
      <c r="HC22" s="171"/>
      <c r="HD22" s="171"/>
      <c r="HE22" s="171"/>
      <c r="HF22" s="171"/>
      <c r="HG22" s="171"/>
      <c r="HH22" s="171"/>
      <c r="HI22" s="171"/>
      <c r="HJ22" s="171"/>
      <c r="HK22" s="171"/>
      <c r="HL22" s="171"/>
      <c r="HM22" s="171"/>
      <c r="HN22" s="171"/>
      <c r="HO22" s="171"/>
      <c r="HP22" s="171"/>
      <c r="HQ22" s="171"/>
      <c r="HR22" s="171"/>
      <c r="HS22" s="171"/>
      <c r="HT22" s="171"/>
      <c r="HU22" s="171"/>
      <c r="HV22" s="171"/>
      <c r="HW22" s="171"/>
      <c r="HX22" s="171"/>
      <c r="HY22" s="171"/>
      <c r="HZ22" s="171"/>
      <c r="IA22" s="171"/>
      <c r="IB22" s="171"/>
      <c r="IC22" s="171"/>
      <c r="ID22" s="171"/>
      <c r="IE22" s="171"/>
      <c r="IF22" s="171"/>
      <c r="IG22" s="171"/>
      <c r="IH22" s="171"/>
      <c r="II22" s="171"/>
      <c r="IJ22" s="171"/>
      <c r="IK22" s="171"/>
      <c r="IL22" s="171"/>
      <c r="IM22" s="171"/>
      <c r="IN22" s="171"/>
      <c r="IO22" s="171"/>
      <c r="IP22" s="171"/>
      <c r="IQ22" s="171"/>
      <c r="IR22" s="171"/>
      <c r="IS22" s="171"/>
      <c r="IT22" s="171"/>
      <c r="IU22" s="171"/>
      <c r="IV22" s="171"/>
      <c r="IW22" s="171"/>
      <c r="IX22" s="171"/>
      <c r="IY22" s="171"/>
      <c r="IZ22" s="171"/>
      <c r="JA22" s="171"/>
      <c r="JB22" s="171"/>
      <c r="JC22" s="171"/>
      <c r="JD22" s="171"/>
      <c r="JE22" s="171"/>
      <c r="JF22" s="171"/>
      <c r="JG22" s="171"/>
      <c r="JH22" s="171"/>
      <c r="JI22" s="171"/>
      <c r="JJ22" s="171"/>
      <c r="JK22" s="171"/>
      <c r="JL22" s="171"/>
      <c r="JM22" s="171"/>
      <c r="JN22" s="171"/>
      <c r="JO22" s="171"/>
      <c r="JP22" s="171"/>
      <c r="JQ22" s="171"/>
      <c r="JR22" s="171"/>
      <c r="JS22" s="171"/>
      <c r="JT22" s="171"/>
      <c r="JU22" s="171"/>
      <c r="JV22" s="171"/>
      <c r="JW22" s="171"/>
      <c r="JX22" s="171"/>
      <c r="JY22" s="171"/>
      <c r="JZ22" s="171"/>
      <c r="KA22" s="171"/>
      <c r="KB22" s="171"/>
      <c r="KC22" s="172"/>
    </row>
    <row r="23" spans="1:289">
      <c r="A23" s="150" t="str">
        <f>IF(Create!C28&lt;&gt;"",Create!C28,"")</f>
        <v/>
      </c>
      <c r="B23" s="170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71"/>
      <c r="BT23" s="171"/>
      <c r="BU23" s="171"/>
      <c r="BV23" s="171"/>
      <c r="BW23" s="171"/>
      <c r="BX23" s="171"/>
      <c r="BY23" s="171"/>
      <c r="BZ23" s="171"/>
      <c r="CA23" s="171"/>
      <c r="CB23" s="171"/>
      <c r="CC23" s="171"/>
      <c r="CD23" s="171"/>
      <c r="CE23" s="171"/>
      <c r="CF23" s="171"/>
      <c r="CG23" s="171"/>
      <c r="CH23" s="171"/>
      <c r="CI23" s="171"/>
      <c r="CJ23" s="171"/>
      <c r="CK23" s="171"/>
      <c r="CL23" s="171"/>
      <c r="CM23" s="171"/>
      <c r="CN23" s="171"/>
      <c r="CO23" s="171"/>
      <c r="CP23" s="171"/>
      <c r="CQ23" s="171"/>
      <c r="CR23" s="171"/>
      <c r="CS23" s="171"/>
      <c r="CT23" s="171"/>
      <c r="CU23" s="171"/>
      <c r="CV23" s="171"/>
      <c r="CW23" s="171"/>
      <c r="CX23" s="171"/>
      <c r="CY23" s="171"/>
      <c r="CZ23" s="171"/>
      <c r="DA23" s="171"/>
      <c r="DB23" s="171"/>
      <c r="DC23" s="171"/>
      <c r="DD23" s="171"/>
      <c r="DE23" s="171"/>
      <c r="DF23" s="171"/>
      <c r="DG23" s="171"/>
      <c r="DH23" s="171"/>
      <c r="DI23" s="171"/>
      <c r="DJ23" s="171"/>
      <c r="DK23" s="171"/>
      <c r="DL23" s="171"/>
      <c r="DM23" s="171"/>
      <c r="DN23" s="171"/>
      <c r="DO23" s="171"/>
      <c r="DP23" s="171"/>
      <c r="DQ23" s="171"/>
      <c r="DR23" s="171"/>
      <c r="DS23" s="171"/>
      <c r="DT23" s="171"/>
      <c r="DU23" s="171"/>
      <c r="DV23" s="171"/>
      <c r="DW23" s="171"/>
      <c r="DX23" s="171"/>
      <c r="DY23" s="171"/>
      <c r="DZ23" s="171"/>
      <c r="EA23" s="171"/>
      <c r="EB23" s="171"/>
      <c r="EC23" s="171"/>
      <c r="ED23" s="171"/>
      <c r="EE23" s="171"/>
      <c r="EF23" s="171"/>
      <c r="EG23" s="171"/>
      <c r="EH23" s="171"/>
      <c r="EI23" s="171"/>
      <c r="EJ23" s="171"/>
      <c r="EK23" s="171"/>
      <c r="EL23" s="171"/>
      <c r="EM23" s="171"/>
      <c r="EN23" s="171"/>
      <c r="EO23" s="171"/>
      <c r="EP23" s="171"/>
      <c r="EQ23" s="171"/>
      <c r="ER23" s="171"/>
      <c r="ES23" s="171"/>
      <c r="ET23" s="171"/>
      <c r="EU23" s="171"/>
      <c r="EV23" s="171"/>
      <c r="EW23" s="171"/>
      <c r="EX23" s="171"/>
      <c r="EY23" s="171"/>
      <c r="EZ23" s="171"/>
      <c r="FA23" s="171"/>
      <c r="FB23" s="171"/>
      <c r="FC23" s="171"/>
      <c r="FD23" s="171"/>
      <c r="FE23" s="171"/>
      <c r="FF23" s="171"/>
      <c r="FG23" s="171"/>
      <c r="FH23" s="171"/>
      <c r="FI23" s="171"/>
      <c r="FJ23" s="171"/>
      <c r="FK23" s="171"/>
      <c r="FL23" s="171"/>
      <c r="FM23" s="171"/>
      <c r="FN23" s="171"/>
      <c r="FO23" s="171"/>
      <c r="FP23" s="171"/>
      <c r="FQ23" s="171"/>
      <c r="FR23" s="171"/>
      <c r="FS23" s="171"/>
      <c r="FT23" s="171"/>
      <c r="FU23" s="171"/>
      <c r="FV23" s="171"/>
      <c r="FW23" s="171"/>
      <c r="FX23" s="171"/>
      <c r="FY23" s="171"/>
      <c r="FZ23" s="171"/>
      <c r="GA23" s="171"/>
      <c r="GB23" s="171"/>
      <c r="GC23" s="171"/>
      <c r="GD23" s="171"/>
      <c r="GE23" s="171"/>
      <c r="GF23" s="171"/>
      <c r="GG23" s="171"/>
      <c r="GH23" s="171"/>
      <c r="GI23" s="171"/>
      <c r="GJ23" s="171"/>
      <c r="GK23" s="171"/>
      <c r="GL23" s="171"/>
      <c r="GM23" s="171"/>
      <c r="GN23" s="171"/>
      <c r="GO23" s="171"/>
      <c r="GP23" s="171"/>
      <c r="GQ23" s="171"/>
      <c r="GR23" s="171"/>
      <c r="GS23" s="171"/>
      <c r="GT23" s="171"/>
      <c r="GU23" s="171"/>
      <c r="GV23" s="171"/>
      <c r="GW23" s="171"/>
      <c r="GX23" s="171"/>
      <c r="GY23" s="171"/>
      <c r="GZ23" s="171"/>
      <c r="HA23" s="171"/>
      <c r="HB23" s="171"/>
      <c r="HC23" s="171"/>
      <c r="HD23" s="171"/>
      <c r="HE23" s="171"/>
      <c r="HF23" s="171"/>
      <c r="HG23" s="171"/>
      <c r="HH23" s="171"/>
      <c r="HI23" s="171"/>
      <c r="HJ23" s="171"/>
      <c r="HK23" s="171"/>
      <c r="HL23" s="171"/>
      <c r="HM23" s="171"/>
      <c r="HN23" s="171"/>
      <c r="HO23" s="171"/>
      <c r="HP23" s="171"/>
      <c r="HQ23" s="171"/>
      <c r="HR23" s="171"/>
      <c r="HS23" s="171"/>
      <c r="HT23" s="171"/>
      <c r="HU23" s="171"/>
      <c r="HV23" s="171"/>
      <c r="HW23" s="171"/>
      <c r="HX23" s="171"/>
      <c r="HY23" s="171"/>
      <c r="HZ23" s="171"/>
      <c r="IA23" s="171"/>
      <c r="IB23" s="171"/>
      <c r="IC23" s="171"/>
      <c r="ID23" s="171"/>
      <c r="IE23" s="171"/>
      <c r="IF23" s="171"/>
      <c r="IG23" s="171"/>
      <c r="IH23" s="171"/>
      <c r="II23" s="171"/>
      <c r="IJ23" s="171"/>
      <c r="IK23" s="171"/>
      <c r="IL23" s="171"/>
      <c r="IM23" s="171"/>
      <c r="IN23" s="171"/>
      <c r="IO23" s="171"/>
      <c r="IP23" s="171"/>
      <c r="IQ23" s="171"/>
      <c r="IR23" s="171"/>
      <c r="IS23" s="171"/>
      <c r="IT23" s="171"/>
      <c r="IU23" s="171"/>
      <c r="IV23" s="171"/>
      <c r="IW23" s="171"/>
      <c r="IX23" s="171"/>
      <c r="IY23" s="171"/>
      <c r="IZ23" s="171"/>
      <c r="JA23" s="171"/>
      <c r="JB23" s="171"/>
      <c r="JC23" s="171"/>
      <c r="JD23" s="171"/>
      <c r="JE23" s="171"/>
      <c r="JF23" s="171"/>
      <c r="JG23" s="171"/>
      <c r="JH23" s="171"/>
      <c r="JI23" s="171"/>
      <c r="JJ23" s="171"/>
      <c r="JK23" s="171"/>
      <c r="JL23" s="171"/>
      <c r="JM23" s="171"/>
      <c r="JN23" s="171"/>
      <c r="JO23" s="171"/>
      <c r="JP23" s="171"/>
      <c r="JQ23" s="171"/>
      <c r="JR23" s="171"/>
      <c r="JS23" s="171"/>
      <c r="JT23" s="171"/>
      <c r="JU23" s="171"/>
      <c r="JV23" s="171"/>
      <c r="JW23" s="171"/>
      <c r="JX23" s="171"/>
      <c r="JY23" s="171"/>
      <c r="JZ23" s="171"/>
      <c r="KA23" s="171"/>
      <c r="KB23" s="171"/>
      <c r="KC23" s="172"/>
    </row>
    <row r="24" spans="1:289">
      <c r="A24" s="150" t="str">
        <f>IF(Create!C29&lt;&gt;"",Create!C29,"")</f>
        <v/>
      </c>
      <c r="B24" s="170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71"/>
      <c r="BT24" s="171"/>
      <c r="BU24" s="171"/>
      <c r="BV24" s="171"/>
      <c r="BW24" s="171"/>
      <c r="BX24" s="171"/>
      <c r="BY24" s="171"/>
      <c r="BZ24" s="171"/>
      <c r="CA24" s="171"/>
      <c r="CB24" s="171"/>
      <c r="CC24" s="171"/>
      <c r="CD24" s="171"/>
      <c r="CE24" s="171"/>
      <c r="CF24" s="171"/>
      <c r="CG24" s="171"/>
      <c r="CH24" s="171"/>
      <c r="CI24" s="171"/>
      <c r="CJ24" s="171"/>
      <c r="CK24" s="171"/>
      <c r="CL24" s="171"/>
      <c r="CM24" s="171"/>
      <c r="CN24" s="171"/>
      <c r="CO24" s="171"/>
      <c r="CP24" s="171"/>
      <c r="CQ24" s="171"/>
      <c r="CR24" s="171"/>
      <c r="CS24" s="171"/>
      <c r="CT24" s="171"/>
      <c r="CU24" s="171"/>
      <c r="CV24" s="171"/>
      <c r="CW24" s="171"/>
      <c r="CX24" s="171"/>
      <c r="CY24" s="171"/>
      <c r="CZ24" s="171"/>
      <c r="DA24" s="171"/>
      <c r="DB24" s="171"/>
      <c r="DC24" s="171"/>
      <c r="DD24" s="171"/>
      <c r="DE24" s="171"/>
      <c r="DF24" s="171"/>
      <c r="DG24" s="171"/>
      <c r="DH24" s="171"/>
      <c r="DI24" s="171"/>
      <c r="DJ24" s="171"/>
      <c r="DK24" s="171"/>
      <c r="DL24" s="171"/>
      <c r="DM24" s="171"/>
      <c r="DN24" s="171"/>
      <c r="DO24" s="171"/>
      <c r="DP24" s="171"/>
      <c r="DQ24" s="171"/>
      <c r="DR24" s="171"/>
      <c r="DS24" s="171"/>
      <c r="DT24" s="171"/>
      <c r="DU24" s="171"/>
      <c r="DV24" s="171"/>
      <c r="DW24" s="171"/>
      <c r="DX24" s="171"/>
      <c r="DY24" s="171"/>
      <c r="DZ24" s="171"/>
      <c r="EA24" s="171"/>
      <c r="EB24" s="171"/>
      <c r="EC24" s="171"/>
      <c r="ED24" s="171"/>
      <c r="EE24" s="171"/>
      <c r="EF24" s="171"/>
      <c r="EG24" s="171"/>
      <c r="EH24" s="171"/>
      <c r="EI24" s="171"/>
      <c r="EJ24" s="171"/>
      <c r="EK24" s="171"/>
      <c r="EL24" s="171"/>
      <c r="EM24" s="171"/>
      <c r="EN24" s="171"/>
      <c r="EO24" s="171"/>
      <c r="EP24" s="171"/>
      <c r="EQ24" s="171"/>
      <c r="ER24" s="171"/>
      <c r="ES24" s="171"/>
      <c r="ET24" s="171"/>
      <c r="EU24" s="171"/>
      <c r="EV24" s="171"/>
      <c r="EW24" s="171"/>
      <c r="EX24" s="171"/>
      <c r="EY24" s="171"/>
      <c r="EZ24" s="171"/>
      <c r="FA24" s="171"/>
      <c r="FB24" s="171"/>
      <c r="FC24" s="171"/>
      <c r="FD24" s="171"/>
      <c r="FE24" s="171"/>
      <c r="FF24" s="171"/>
      <c r="FG24" s="171"/>
      <c r="FH24" s="171"/>
      <c r="FI24" s="171"/>
      <c r="FJ24" s="171"/>
      <c r="FK24" s="171"/>
      <c r="FL24" s="171"/>
      <c r="FM24" s="171"/>
      <c r="FN24" s="171"/>
      <c r="FO24" s="171"/>
      <c r="FP24" s="171"/>
      <c r="FQ24" s="171"/>
      <c r="FR24" s="171"/>
      <c r="FS24" s="171"/>
      <c r="FT24" s="171"/>
      <c r="FU24" s="171"/>
      <c r="FV24" s="171"/>
      <c r="FW24" s="171"/>
      <c r="FX24" s="171"/>
      <c r="FY24" s="171"/>
      <c r="FZ24" s="171"/>
      <c r="GA24" s="171"/>
      <c r="GB24" s="171"/>
      <c r="GC24" s="171"/>
      <c r="GD24" s="171"/>
      <c r="GE24" s="171"/>
      <c r="GF24" s="171"/>
      <c r="GG24" s="171"/>
      <c r="GH24" s="171"/>
      <c r="GI24" s="171"/>
      <c r="GJ24" s="171"/>
      <c r="GK24" s="171"/>
      <c r="GL24" s="171"/>
      <c r="GM24" s="171"/>
      <c r="GN24" s="171"/>
      <c r="GO24" s="171"/>
      <c r="GP24" s="171"/>
      <c r="GQ24" s="171"/>
      <c r="GR24" s="171"/>
      <c r="GS24" s="171"/>
      <c r="GT24" s="171"/>
      <c r="GU24" s="171"/>
      <c r="GV24" s="171"/>
      <c r="GW24" s="171"/>
      <c r="GX24" s="171"/>
      <c r="GY24" s="171"/>
      <c r="GZ24" s="171"/>
      <c r="HA24" s="171"/>
      <c r="HB24" s="171"/>
      <c r="HC24" s="171"/>
      <c r="HD24" s="171"/>
      <c r="HE24" s="171"/>
      <c r="HF24" s="171"/>
      <c r="HG24" s="171"/>
      <c r="HH24" s="171"/>
      <c r="HI24" s="171"/>
      <c r="HJ24" s="171"/>
      <c r="HK24" s="171"/>
      <c r="HL24" s="171"/>
      <c r="HM24" s="171"/>
      <c r="HN24" s="171"/>
      <c r="HO24" s="171"/>
      <c r="HP24" s="171"/>
      <c r="HQ24" s="171"/>
      <c r="HR24" s="171"/>
      <c r="HS24" s="171"/>
      <c r="HT24" s="171"/>
      <c r="HU24" s="171"/>
      <c r="HV24" s="171"/>
      <c r="HW24" s="171"/>
      <c r="HX24" s="171"/>
      <c r="HY24" s="171"/>
      <c r="HZ24" s="171"/>
      <c r="IA24" s="171"/>
      <c r="IB24" s="171"/>
      <c r="IC24" s="171"/>
      <c r="ID24" s="171"/>
      <c r="IE24" s="171"/>
      <c r="IF24" s="171"/>
      <c r="IG24" s="171"/>
      <c r="IH24" s="171"/>
      <c r="II24" s="171"/>
      <c r="IJ24" s="171"/>
      <c r="IK24" s="171"/>
      <c r="IL24" s="171"/>
      <c r="IM24" s="171"/>
      <c r="IN24" s="171"/>
      <c r="IO24" s="171"/>
      <c r="IP24" s="171"/>
      <c r="IQ24" s="171"/>
      <c r="IR24" s="171"/>
      <c r="IS24" s="171"/>
      <c r="IT24" s="171"/>
      <c r="IU24" s="171"/>
      <c r="IV24" s="171"/>
      <c r="IW24" s="171"/>
      <c r="IX24" s="171"/>
      <c r="IY24" s="171"/>
      <c r="IZ24" s="171"/>
      <c r="JA24" s="171"/>
      <c r="JB24" s="171"/>
      <c r="JC24" s="171"/>
      <c r="JD24" s="171"/>
      <c r="JE24" s="171"/>
      <c r="JF24" s="171"/>
      <c r="JG24" s="171"/>
      <c r="JH24" s="171"/>
      <c r="JI24" s="171"/>
      <c r="JJ24" s="171"/>
      <c r="JK24" s="171"/>
      <c r="JL24" s="171"/>
      <c r="JM24" s="171"/>
      <c r="JN24" s="171"/>
      <c r="JO24" s="171"/>
      <c r="JP24" s="171"/>
      <c r="JQ24" s="171"/>
      <c r="JR24" s="171"/>
      <c r="JS24" s="171"/>
      <c r="JT24" s="171"/>
      <c r="JU24" s="171"/>
      <c r="JV24" s="171"/>
      <c r="JW24" s="171"/>
      <c r="JX24" s="171"/>
      <c r="JY24" s="171"/>
      <c r="JZ24" s="171"/>
      <c r="KA24" s="171"/>
      <c r="KB24" s="171"/>
      <c r="KC24" s="172"/>
    </row>
    <row r="25" spans="1:289">
      <c r="A25" s="150" t="str">
        <f>IF(Create!C30&lt;&gt;"",Create!C30,"")</f>
        <v/>
      </c>
      <c r="B25" s="170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1"/>
      <c r="BV25" s="171"/>
      <c r="BW25" s="171"/>
      <c r="BX25" s="171"/>
      <c r="BY25" s="171"/>
      <c r="BZ25" s="171"/>
      <c r="CA25" s="171"/>
      <c r="CB25" s="171"/>
      <c r="CC25" s="171"/>
      <c r="CD25" s="171"/>
      <c r="CE25" s="171"/>
      <c r="CF25" s="171"/>
      <c r="CG25" s="171"/>
      <c r="CH25" s="171"/>
      <c r="CI25" s="171"/>
      <c r="CJ25" s="171"/>
      <c r="CK25" s="171"/>
      <c r="CL25" s="171"/>
      <c r="CM25" s="171"/>
      <c r="CN25" s="171"/>
      <c r="CO25" s="171"/>
      <c r="CP25" s="171"/>
      <c r="CQ25" s="171"/>
      <c r="CR25" s="171"/>
      <c r="CS25" s="171"/>
      <c r="CT25" s="171"/>
      <c r="CU25" s="171"/>
      <c r="CV25" s="171"/>
      <c r="CW25" s="171"/>
      <c r="CX25" s="171"/>
      <c r="CY25" s="171"/>
      <c r="CZ25" s="171"/>
      <c r="DA25" s="171"/>
      <c r="DB25" s="171"/>
      <c r="DC25" s="171"/>
      <c r="DD25" s="171"/>
      <c r="DE25" s="171"/>
      <c r="DF25" s="171"/>
      <c r="DG25" s="171"/>
      <c r="DH25" s="171"/>
      <c r="DI25" s="171"/>
      <c r="DJ25" s="171"/>
      <c r="DK25" s="171"/>
      <c r="DL25" s="171"/>
      <c r="DM25" s="171"/>
      <c r="DN25" s="171"/>
      <c r="DO25" s="171"/>
      <c r="DP25" s="171"/>
      <c r="DQ25" s="171"/>
      <c r="DR25" s="171"/>
      <c r="DS25" s="171"/>
      <c r="DT25" s="171"/>
      <c r="DU25" s="171"/>
      <c r="DV25" s="171"/>
      <c r="DW25" s="171"/>
      <c r="DX25" s="171"/>
      <c r="DY25" s="171"/>
      <c r="DZ25" s="171"/>
      <c r="EA25" s="171"/>
      <c r="EB25" s="171"/>
      <c r="EC25" s="171"/>
      <c r="ED25" s="171"/>
      <c r="EE25" s="171"/>
      <c r="EF25" s="171"/>
      <c r="EG25" s="171"/>
      <c r="EH25" s="171"/>
      <c r="EI25" s="171"/>
      <c r="EJ25" s="171"/>
      <c r="EK25" s="171"/>
      <c r="EL25" s="171"/>
      <c r="EM25" s="171"/>
      <c r="EN25" s="171"/>
      <c r="EO25" s="171"/>
      <c r="EP25" s="171"/>
      <c r="EQ25" s="171"/>
      <c r="ER25" s="171"/>
      <c r="ES25" s="171"/>
      <c r="ET25" s="171"/>
      <c r="EU25" s="171"/>
      <c r="EV25" s="171"/>
      <c r="EW25" s="171"/>
      <c r="EX25" s="171"/>
      <c r="EY25" s="171"/>
      <c r="EZ25" s="171"/>
      <c r="FA25" s="171"/>
      <c r="FB25" s="171"/>
      <c r="FC25" s="171"/>
      <c r="FD25" s="171"/>
      <c r="FE25" s="171"/>
      <c r="FF25" s="171"/>
      <c r="FG25" s="171"/>
      <c r="FH25" s="171"/>
      <c r="FI25" s="171"/>
      <c r="FJ25" s="171"/>
      <c r="FK25" s="171"/>
      <c r="FL25" s="171"/>
      <c r="FM25" s="171"/>
      <c r="FN25" s="171"/>
      <c r="FO25" s="171"/>
      <c r="FP25" s="171"/>
      <c r="FQ25" s="171"/>
      <c r="FR25" s="171"/>
      <c r="FS25" s="171"/>
      <c r="FT25" s="171"/>
      <c r="FU25" s="171"/>
      <c r="FV25" s="171"/>
      <c r="FW25" s="171"/>
      <c r="FX25" s="171"/>
      <c r="FY25" s="171"/>
      <c r="FZ25" s="171"/>
      <c r="GA25" s="171"/>
      <c r="GB25" s="171"/>
      <c r="GC25" s="171"/>
      <c r="GD25" s="171"/>
      <c r="GE25" s="171"/>
      <c r="GF25" s="171"/>
      <c r="GG25" s="171"/>
      <c r="GH25" s="171"/>
      <c r="GI25" s="171"/>
      <c r="GJ25" s="171"/>
      <c r="GK25" s="171"/>
      <c r="GL25" s="171"/>
      <c r="GM25" s="171"/>
      <c r="GN25" s="171"/>
      <c r="GO25" s="171"/>
      <c r="GP25" s="171"/>
      <c r="GQ25" s="171"/>
      <c r="GR25" s="171"/>
      <c r="GS25" s="171"/>
      <c r="GT25" s="171"/>
      <c r="GU25" s="171"/>
      <c r="GV25" s="171"/>
      <c r="GW25" s="171"/>
      <c r="GX25" s="171"/>
      <c r="GY25" s="171"/>
      <c r="GZ25" s="171"/>
      <c r="HA25" s="171"/>
      <c r="HB25" s="171"/>
      <c r="HC25" s="171"/>
      <c r="HD25" s="171"/>
      <c r="HE25" s="171"/>
      <c r="HF25" s="171"/>
      <c r="HG25" s="171"/>
      <c r="HH25" s="171"/>
      <c r="HI25" s="171"/>
      <c r="HJ25" s="171"/>
      <c r="HK25" s="171"/>
      <c r="HL25" s="171"/>
      <c r="HM25" s="171"/>
      <c r="HN25" s="171"/>
      <c r="HO25" s="171"/>
      <c r="HP25" s="171"/>
      <c r="HQ25" s="171"/>
      <c r="HR25" s="171"/>
      <c r="HS25" s="171"/>
      <c r="HT25" s="171"/>
      <c r="HU25" s="171"/>
      <c r="HV25" s="171"/>
      <c r="HW25" s="171"/>
      <c r="HX25" s="171"/>
      <c r="HY25" s="171"/>
      <c r="HZ25" s="171"/>
      <c r="IA25" s="171"/>
      <c r="IB25" s="171"/>
      <c r="IC25" s="171"/>
      <c r="ID25" s="171"/>
      <c r="IE25" s="171"/>
      <c r="IF25" s="171"/>
      <c r="IG25" s="171"/>
      <c r="IH25" s="171"/>
      <c r="II25" s="171"/>
      <c r="IJ25" s="171"/>
      <c r="IK25" s="171"/>
      <c r="IL25" s="171"/>
      <c r="IM25" s="171"/>
      <c r="IN25" s="171"/>
      <c r="IO25" s="171"/>
      <c r="IP25" s="171"/>
      <c r="IQ25" s="171"/>
      <c r="IR25" s="171"/>
      <c r="IS25" s="171"/>
      <c r="IT25" s="171"/>
      <c r="IU25" s="171"/>
      <c r="IV25" s="171"/>
      <c r="IW25" s="171"/>
      <c r="IX25" s="171"/>
      <c r="IY25" s="171"/>
      <c r="IZ25" s="171"/>
      <c r="JA25" s="171"/>
      <c r="JB25" s="171"/>
      <c r="JC25" s="171"/>
      <c r="JD25" s="171"/>
      <c r="JE25" s="171"/>
      <c r="JF25" s="171"/>
      <c r="JG25" s="171"/>
      <c r="JH25" s="171"/>
      <c r="JI25" s="171"/>
      <c r="JJ25" s="171"/>
      <c r="JK25" s="171"/>
      <c r="JL25" s="171"/>
      <c r="JM25" s="171"/>
      <c r="JN25" s="171"/>
      <c r="JO25" s="171"/>
      <c r="JP25" s="171"/>
      <c r="JQ25" s="171"/>
      <c r="JR25" s="171"/>
      <c r="JS25" s="171"/>
      <c r="JT25" s="171"/>
      <c r="JU25" s="171"/>
      <c r="JV25" s="171"/>
      <c r="JW25" s="171"/>
      <c r="JX25" s="171"/>
      <c r="JY25" s="171"/>
      <c r="JZ25" s="171"/>
      <c r="KA25" s="171"/>
      <c r="KB25" s="171"/>
      <c r="KC25" s="172"/>
    </row>
    <row r="26" spans="1:289" ht="15.75" thickBot="1">
      <c r="A26" s="151" t="str">
        <f>IF(Create!C31&lt;&gt;"",Create!C31,"")</f>
        <v/>
      </c>
      <c r="B26" s="173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  <c r="AO26" s="174"/>
      <c r="AP26" s="174"/>
      <c r="AQ26" s="174"/>
      <c r="AR26" s="174"/>
      <c r="AS26" s="174"/>
      <c r="AT26" s="174"/>
      <c r="AU26" s="174"/>
      <c r="AV26" s="174"/>
      <c r="AW26" s="174"/>
      <c r="AX26" s="174"/>
      <c r="AY26" s="174"/>
      <c r="AZ26" s="174"/>
      <c r="BA26" s="174"/>
      <c r="BB26" s="174"/>
      <c r="BC26" s="174"/>
      <c r="BD26" s="174"/>
      <c r="BE26" s="174"/>
      <c r="BF26" s="174"/>
      <c r="BG26" s="174"/>
      <c r="BH26" s="174"/>
      <c r="BI26" s="174"/>
      <c r="BJ26" s="174"/>
      <c r="BK26" s="174"/>
      <c r="BL26" s="174"/>
      <c r="BM26" s="174"/>
      <c r="BN26" s="174"/>
      <c r="BO26" s="174"/>
      <c r="BP26" s="174"/>
      <c r="BQ26" s="174"/>
      <c r="BR26" s="174"/>
      <c r="BS26" s="174"/>
      <c r="BT26" s="174"/>
      <c r="BU26" s="174"/>
      <c r="BV26" s="174"/>
      <c r="BW26" s="174"/>
      <c r="BX26" s="174"/>
      <c r="BY26" s="174"/>
      <c r="BZ26" s="174"/>
      <c r="CA26" s="174"/>
      <c r="CB26" s="174"/>
      <c r="CC26" s="174"/>
      <c r="CD26" s="174"/>
      <c r="CE26" s="174"/>
      <c r="CF26" s="174"/>
      <c r="CG26" s="174"/>
      <c r="CH26" s="174"/>
      <c r="CI26" s="174"/>
      <c r="CJ26" s="174"/>
      <c r="CK26" s="174"/>
      <c r="CL26" s="174"/>
      <c r="CM26" s="174"/>
      <c r="CN26" s="174"/>
      <c r="CO26" s="174"/>
      <c r="CP26" s="174"/>
      <c r="CQ26" s="174"/>
      <c r="CR26" s="174"/>
      <c r="CS26" s="174"/>
      <c r="CT26" s="174"/>
      <c r="CU26" s="174"/>
      <c r="CV26" s="174"/>
      <c r="CW26" s="174"/>
      <c r="CX26" s="174"/>
      <c r="CY26" s="174"/>
      <c r="CZ26" s="174"/>
      <c r="DA26" s="174"/>
      <c r="DB26" s="174"/>
      <c r="DC26" s="174"/>
      <c r="DD26" s="174"/>
      <c r="DE26" s="174"/>
      <c r="DF26" s="174"/>
      <c r="DG26" s="174"/>
      <c r="DH26" s="174"/>
      <c r="DI26" s="174"/>
      <c r="DJ26" s="174"/>
      <c r="DK26" s="174"/>
      <c r="DL26" s="174"/>
      <c r="DM26" s="174"/>
      <c r="DN26" s="174"/>
      <c r="DO26" s="174"/>
      <c r="DP26" s="174"/>
      <c r="DQ26" s="174"/>
      <c r="DR26" s="174"/>
      <c r="DS26" s="174"/>
      <c r="DT26" s="174"/>
      <c r="DU26" s="174"/>
      <c r="DV26" s="174"/>
      <c r="DW26" s="174"/>
      <c r="DX26" s="174"/>
      <c r="DY26" s="174"/>
      <c r="DZ26" s="174"/>
      <c r="EA26" s="174"/>
      <c r="EB26" s="174"/>
      <c r="EC26" s="174"/>
      <c r="ED26" s="174"/>
      <c r="EE26" s="174"/>
      <c r="EF26" s="174"/>
      <c r="EG26" s="174"/>
      <c r="EH26" s="174"/>
      <c r="EI26" s="174"/>
      <c r="EJ26" s="174"/>
      <c r="EK26" s="174"/>
      <c r="EL26" s="174"/>
      <c r="EM26" s="174"/>
      <c r="EN26" s="174"/>
      <c r="EO26" s="174"/>
      <c r="EP26" s="174"/>
      <c r="EQ26" s="174"/>
      <c r="ER26" s="174"/>
      <c r="ES26" s="174"/>
      <c r="ET26" s="174"/>
      <c r="EU26" s="174"/>
      <c r="EV26" s="174"/>
      <c r="EW26" s="174"/>
      <c r="EX26" s="174"/>
      <c r="EY26" s="174"/>
      <c r="EZ26" s="174"/>
      <c r="FA26" s="174"/>
      <c r="FB26" s="174"/>
      <c r="FC26" s="174"/>
      <c r="FD26" s="174"/>
      <c r="FE26" s="174"/>
      <c r="FF26" s="174"/>
      <c r="FG26" s="174"/>
      <c r="FH26" s="174"/>
      <c r="FI26" s="174"/>
      <c r="FJ26" s="174"/>
      <c r="FK26" s="174"/>
      <c r="FL26" s="174"/>
      <c r="FM26" s="174"/>
      <c r="FN26" s="174"/>
      <c r="FO26" s="174"/>
      <c r="FP26" s="174"/>
      <c r="FQ26" s="174"/>
      <c r="FR26" s="174"/>
      <c r="FS26" s="174"/>
      <c r="FT26" s="174"/>
      <c r="FU26" s="174"/>
      <c r="FV26" s="174"/>
      <c r="FW26" s="174"/>
      <c r="FX26" s="174"/>
      <c r="FY26" s="174"/>
      <c r="FZ26" s="174"/>
      <c r="GA26" s="174"/>
      <c r="GB26" s="174"/>
      <c r="GC26" s="174"/>
      <c r="GD26" s="174"/>
      <c r="GE26" s="174"/>
      <c r="GF26" s="174"/>
      <c r="GG26" s="174"/>
      <c r="GH26" s="174"/>
      <c r="GI26" s="174"/>
      <c r="GJ26" s="174"/>
      <c r="GK26" s="174"/>
      <c r="GL26" s="174"/>
      <c r="GM26" s="174"/>
      <c r="GN26" s="174"/>
      <c r="GO26" s="174"/>
      <c r="GP26" s="174"/>
      <c r="GQ26" s="174"/>
      <c r="GR26" s="174"/>
      <c r="GS26" s="174"/>
      <c r="GT26" s="174"/>
      <c r="GU26" s="174"/>
      <c r="GV26" s="174"/>
      <c r="GW26" s="174"/>
      <c r="GX26" s="174"/>
      <c r="GY26" s="174"/>
      <c r="GZ26" s="174"/>
      <c r="HA26" s="174"/>
      <c r="HB26" s="174"/>
      <c r="HC26" s="174"/>
      <c r="HD26" s="174"/>
      <c r="HE26" s="174"/>
      <c r="HF26" s="174"/>
      <c r="HG26" s="174"/>
      <c r="HH26" s="174"/>
      <c r="HI26" s="174"/>
      <c r="HJ26" s="174"/>
      <c r="HK26" s="174"/>
      <c r="HL26" s="174"/>
      <c r="HM26" s="174"/>
      <c r="HN26" s="174"/>
      <c r="HO26" s="174"/>
      <c r="HP26" s="174"/>
      <c r="HQ26" s="174"/>
      <c r="HR26" s="174"/>
      <c r="HS26" s="174"/>
      <c r="HT26" s="174"/>
      <c r="HU26" s="174"/>
      <c r="HV26" s="174"/>
      <c r="HW26" s="174"/>
      <c r="HX26" s="174"/>
      <c r="HY26" s="174"/>
      <c r="HZ26" s="174"/>
      <c r="IA26" s="174"/>
      <c r="IB26" s="174"/>
      <c r="IC26" s="174"/>
      <c r="ID26" s="174"/>
      <c r="IE26" s="174"/>
      <c r="IF26" s="174"/>
      <c r="IG26" s="174"/>
      <c r="IH26" s="174"/>
      <c r="II26" s="174"/>
      <c r="IJ26" s="174"/>
      <c r="IK26" s="174"/>
      <c r="IL26" s="174"/>
      <c r="IM26" s="174"/>
      <c r="IN26" s="174"/>
      <c r="IO26" s="174"/>
      <c r="IP26" s="174"/>
      <c r="IQ26" s="174"/>
      <c r="IR26" s="174"/>
      <c r="IS26" s="174"/>
      <c r="IT26" s="174"/>
      <c r="IU26" s="174"/>
      <c r="IV26" s="174"/>
      <c r="IW26" s="174"/>
      <c r="IX26" s="174"/>
      <c r="IY26" s="174"/>
      <c r="IZ26" s="174"/>
      <c r="JA26" s="174"/>
      <c r="JB26" s="174"/>
      <c r="JC26" s="174"/>
      <c r="JD26" s="174"/>
      <c r="JE26" s="174"/>
      <c r="JF26" s="174"/>
      <c r="JG26" s="174"/>
      <c r="JH26" s="174"/>
      <c r="JI26" s="174"/>
      <c r="JJ26" s="174"/>
      <c r="JK26" s="174"/>
      <c r="JL26" s="174"/>
      <c r="JM26" s="174"/>
      <c r="JN26" s="174"/>
      <c r="JO26" s="174"/>
      <c r="JP26" s="174"/>
      <c r="JQ26" s="174"/>
      <c r="JR26" s="174"/>
      <c r="JS26" s="174"/>
      <c r="JT26" s="174"/>
      <c r="JU26" s="174"/>
      <c r="JV26" s="174"/>
      <c r="JW26" s="174"/>
      <c r="JX26" s="174"/>
      <c r="JY26" s="174"/>
      <c r="JZ26" s="174"/>
      <c r="KA26" s="174"/>
      <c r="KB26" s="174"/>
      <c r="KC26" s="175"/>
    </row>
    <row r="27" spans="1:289" s="156" customFormat="1">
      <c r="A27" s="154" t="s">
        <v>155</v>
      </c>
      <c r="B27" s="155">
        <f>SUM(B2:B26)</f>
        <v>0</v>
      </c>
      <c r="C27" s="155">
        <f t="shared" ref="C27:BN27" si="0">SUM(C2:C26)</f>
        <v>0</v>
      </c>
      <c r="D27" s="155">
        <f t="shared" si="0"/>
        <v>0</v>
      </c>
      <c r="E27" s="155">
        <f t="shared" si="0"/>
        <v>0</v>
      </c>
      <c r="F27" s="155">
        <f t="shared" si="0"/>
        <v>0</v>
      </c>
      <c r="G27" s="155">
        <f t="shared" si="0"/>
        <v>0</v>
      </c>
      <c r="H27" s="155">
        <f t="shared" si="0"/>
        <v>0</v>
      </c>
      <c r="I27" s="155">
        <f t="shared" si="0"/>
        <v>0</v>
      </c>
      <c r="J27" s="155">
        <f t="shared" si="0"/>
        <v>0</v>
      </c>
      <c r="K27" s="155">
        <f t="shared" si="0"/>
        <v>0</v>
      </c>
      <c r="L27" s="155">
        <f t="shared" si="0"/>
        <v>0</v>
      </c>
      <c r="M27" s="155">
        <f t="shared" si="0"/>
        <v>0</v>
      </c>
      <c r="N27" s="155">
        <f t="shared" si="0"/>
        <v>0</v>
      </c>
      <c r="O27" s="155">
        <f t="shared" si="0"/>
        <v>0</v>
      </c>
      <c r="P27" s="155">
        <f t="shared" si="0"/>
        <v>0</v>
      </c>
      <c r="Q27" s="155">
        <f t="shared" si="0"/>
        <v>0</v>
      </c>
      <c r="R27" s="155">
        <f t="shared" si="0"/>
        <v>0</v>
      </c>
      <c r="S27" s="155">
        <f t="shared" si="0"/>
        <v>0</v>
      </c>
      <c r="T27" s="155">
        <f t="shared" si="0"/>
        <v>0</v>
      </c>
      <c r="U27" s="155">
        <f t="shared" si="0"/>
        <v>0</v>
      </c>
      <c r="V27" s="155">
        <f t="shared" si="0"/>
        <v>0</v>
      </c>
      <c r="W27" s="155">
        <f t="shared" si="0"/>
        <v>0</v>
      </c>
      <c r="X27" s="155">
        <f t="shared" si="0"/>
        <v>0</v>
      </c>
      <c r="Y27" s="155">
        <f t="shared" si="0"/>
        <v>0</v>
      </c>
      <c r="Z27" s="155">
        <f t="shared" si="0"/>
        <v>0</v>
      </c>
      <c r="AA27" s="155">
        <f t="shared" si="0"/>
        <v>0</v>
      </c>
      <c r="AB27" s="155">
        <f t="shared" si="0"/>
        <v>0</v>
      </c>
      <c r="AC27" s="155">
        <f t="shared" si="0"/>
        <v>0</v>
      </c>
      <c r="AD27" s="155">
        <f t="shared" si="0"/>
        <v>0</v>
      </c>
      <c r="AE27" s="155">
        <f t="shared" si="0"/>
        <v>0</v>
      </c>
      <c r="AF27" s="155">
        <f t="shared" si="0"/>
        <v>0</v>
      </c>
      <c r="AG27" s="155">
        <f t="shared" si="0"/>
        <v>0</v>
      </c>
      <c r="AH27" s="155">
        <f t="shared" si="0"/>
        <v>0</v>
      </c>
      <c r="AI27" s="155">
        <f t="shared" si="0"/>
        <v>0</v>
      </c>
      <c r="AJ27" s="155">
        <f t="shared" si="0"/>
        <v>0</v>
      </c>
      <c r="AK27" s="155">
        <f t="shared" si="0"/>
        <v>0</v>
      </c>
      <c r="AL27" s="155">
        <f t="shared" si="0"/>
        <v>0</v>
      </c>
      <c r="AM27" s="155">
        <f t="shared" si="0"/>
        <v>0</v>
      </c>
      <c r="AN27" s="155">
        <f t="shared" si="0"/>
        <v>0</v>
      </c>
      <c r="AO27" s="155">
        <f t="shared" si="0"/>
        <v>0</v>
      </c>
      <c r="AP27" s="155">
        <f t="shared" si="0"/>
        <v>0</v>
      </c>
      <c r="AQ27" s="155">
        <f t="shared" si="0"/>
        <v>0</v>
      </c>
      <c r="AR27" s="155">
        <f t="shared" si="0"/>
        <v>0</v>
      </c>
      <c r="AS27" s="155">
        <f t="shared" si="0"/>
        <v>0</v>
      </c>
      <c r="AT27" s="155">
        <f t="shared" si="0"/>
        <v>0</v>
      </c>
      <c r="AU27" s="155">
        <f t="shared" si="0"/>
        <v>0</v>
      </c>
      <c r="AV27" s="155">
        <f t="shared" si="0"/>
        <v>0</v>
      </c>
      <c r="AW27" s="155">
        <f t="shared" si="0"/>
        <v>0</v>
      </c>
      <c r="AX27" s="155">
        <f t="shared" si="0"/>
        <v>0</v>
      </c>
      <c r="AY27" s="155">
        <f t="shared" si="0"/>
        <v>0</v>
      </c>
      <c r="AZ27" s="155">
        <f t="shared" si="0"/>
        <v>0</v>
      </c>
      <c r="BA27" s="155">
        <f t="shared" si="0"/>
        <v>0</v>
      </c>
      <c r="BB27" s="155">
        <f t="shared" si="0"/>
        <v>0</v>
      </c>
      <c r="BC27" s="155">
        <f t="shared" si="0"/>
        <v>0</v>
      </c>
      <c r="BD27" s="155">
        <f t="shared" si="0"/>
        <v>0</v>
      </c>
      <c r="BE27" s="155">
        <f t="shared" si="0"/>
        <v>0</v>
      </c>
      <c r="BF27" s="155">
        <f t="shared" si="0"/>
        <v>0</v>
      </c>
      <c r="BG27" s="155">
        <f t="shared" si="0"/>
        <v>0</v>
      </c>
      <c r="BH27" s="155">
        <f t="shared" si="0"/>
        <v>0</v>
      </c>
      <c r="BI27" s="155">
        <f t="shared" si="0"/>
        <v>0</v>
      </c>
      <c r="BJ27" s="155">
        <f t="shared" si="0"/>
        <v>0</v>
      </c>
      <c r="BK27" s="155">
        <f t="shared" si="0"/>
        <v>0</v>
      </c>
      <c r="BL27" s="155">
        <f t="shared" si="0"/>
        <v>0</v>
      </c>
      <c r="BM27" s="155">
        <f t="shared" si="0"/>
        <v>0</v>
      </c>
      <c r="BN27" s="155">
        <f t="shared" si="0"/>
        <v>0</v>
      </c>
      <c r="BO27" s="155">
        <f t="shared" ref="BO27:DZ27" si="1">SUM(BO2:BO26)</f>
        <v>0</v>
      </c>
      <c r="BP27" s="155">
        <f t="shared" si="1"/>
        <v>0</v>
      </c>
      <c r="BQ27" s="155">
        <f t="shared" si="1"/>
        <v>0</v>
      </c>
      <c r="BR27" s="155">
        <f t="shared" si="1"/>
        <v>0</v>
      </c>
      <c r="BS27" s="155">
        <f t="shared" si="1"/>
        <v>0</v>
      </c>
      <c r="BT27" s="155">
        <f t="shared" si="1"/>
        <v>0</v>
      </c>
      <c r="BU27" s="155">
        <f t="shared" si="1"/>
        <v>0</v>
      </c>
      <c r="BV27" s="155">
        <f t="shared" si="1"/>
        <v>0</v>
      </c>
      <c r="BW27" s="155">
        <f t="shared" si="1"/>
        <v>0</v>
      </c>
      <c r="BX27" s="155">
        <f t="shared" si="1"/>
        <v>0</v>
      </c>
      <c r="BY27" s="155">
        <f t="shared" si="1"/>
        <v>0</v>
      </c>
      <c r="BZ27" s="155">
        <f t="shared" si="1"/>
        <v>0</v>
      </c>
      <c r="CA27" s="155">
        <f t="shared" si="1"/>
        <v>0</v>
      </c>
      <c r="CB27" s="155">
        <f t="shared" si="1"/>
        <v>0</v>
      </c>
      <c r="CC27" s="155">
        <f t="shared" si="1"/>
        <v>0</v>
      </c>
      <c r="CD27" s="155">
        <f t="shared" si="1"/>
        <v>0</v>
      </c>
      <c r="CE27" s="155">
        <f t="shared" si="1"/>
        <v>0</v>
      </c>
      <c r="CF27" s="155">
        <f t="shared" si="1"/>
        <v>0</v>
      </c>
      <c r="CG27" s="155">
        <f t="shared" si="1"/>
        <v>0</v>
      </c>
      <c r="CH27" s="155">
        <f t="shared" si="1"/>
        <v>0</v>
      </c>
      <c r="CI27" s="155">
        <f t="shared" si="1"/>
        <v>0</v>
      </c>
      <c r="CJ27" s="155">
        <f t="shared" si="1"/>
        <v>0</v>
      </c>
      <c r="CK27" s="155">
        <f t="shared" si="1"/>
        <v>0</v>
      </c>
      <c r="CL27" s="155">
        <f t="shared" si="1"/>
        <v>0</v>
      </c>
      <c r="CM27" s="155">
        <f t="shared" si="1"/>
        <v>0</v>
      </c>
      <c r="CN27" s="155">
        <f t="shared" si="1"/>
        <v>0</v>
      </c>
      <c r="CO27" s="155">
        <f t="shared" si="1"/>
        <v>0</v>
      </c>
      <c r="CP27" s="155">
        <f t="shared" si="1"/>
        <v>0</v>
      </c>
      <c r="CQ27" s="155">
        <f t="shared" si="1"/>
        <v>0</v>
      </c>
      <c r="CR27" s="155">
        <f t="shared" si="1"/>
        <v>0</v>
      </c>
      <c r="CS27" s="155">
        <f t="shared" si="1"/>
        <v>0</v>
      </c>
      <c r="CT27" s="155">
        <f t="shared" si="1"/>
        <v>0</v>
      </c>
      <c r="CU27" s="155">
        <f t="shared" si="1"/>
        <v>0</v>
      </c>
      <c r="CV27" s="155">
        <f t="shared" si="1"/>
        <v>0</v>
      </c>
      <c r="CW27" s="155">
        <f t="shared" si="1"/>
        <v>0</v>
      </c>
      <c r="CX27" s="155">
        <f t="shared" si="1"/>
        <v>0</v>
      </c>
      <c r="CY27" s="155">
        <f t="shared" si="1"/>
        <v>0</v>
      </c>
      <c r="CZ27" s="155">
        <f t="shared" si="1"/>
        <v>0</v>
      </c>
      <c r="DA27" s="155">
        <f t="shared" si="1"/>
        <v>0</v>
      </c>
      <c r="DB27" s="155">
        <f t="shared" si="1"/>
        <v>0</v>
      </c>
      <c r="DC27" s="155">
        <f t="shared" si="1"/>
        <v>0</v>
      </c>
      <c r="DD27" s="155">
        <f t="shared" si="1"/>
        <v>0</v>
      </c>
      <c r="DE27" s="155">
        <f t="shared" si="1"/>
        <v>0</v>
      </c>
      <c r="DF27" s="155">
        <f t="shared" si="1"/>
        <v>0</v>
      </c>
      <c r="DG27" s="155">
        <f t="shared" si="1"/>
        <v>0</v>
      </c>
      <c r="DH27" s="155">
        <f t="shared" si="1"/>
        <v>0</v>
      </c>
      <c r="DI27" s="155">
        <f t="shared" si="1"/>
        <v>0</v>
      </c>
      <c r="DJ27" s="155">
        <f t="shared" si="1"/>
        <v>0</v>
      </c>
      <c r="DK27" s="155">
        <f t="shared" si="1"/>
        <v>0</v>
      </c>
      <c r="DL27" s="155">
        <f t="shared" si="1"/>
        <v>0</v>
      </c>
      <c r="DM27" s="155">
        <f t="shared" si="1"/>
        <v>0</v>
      </c>
      <c r="DN27" s="155">
        <f t="shared" si="1"/>
        <v>0</v>
      </c>
      <c r="DO27" s="155">
        <f t="shared" si="1"/>
        <v>0</v>
      </c>
      <c r="DP27" s="155">
        <f t="shared" si="1"/>
        <v>0</v>
      </c>
      <c r="DQ27" s="155">
        <f t="shared" si="1"/>
        <v>0</v>
      </c>
      <c r="DR27" s="155">
        <f t="shared" si="1"/>
        <v>0</v>
      </c>
      <c r="DS27" s="155">
        <f t="shared" si="1"/>
        <v>0</v>
      </c>
      <c r="DT27" s="155">
        <f t="shared" si="1"/>
        <v>0</v>
      </c>
      <c r="DU27" s="155">
        <f t="shared" si="1"/>
        <v>0</v>
      </c>
      <c r="DV27" s="155">
        <f t="shared" si="1"/>
        <v>0</v>
      </c>
      <c r="DW27" s="155">
        <f t="shared" si="1"/>
        <v>0</v>
      </c>
      <c r="DX27" s="155">
        <f t="shared" si="1"/>
        <v>0</v>
      </c>
      <c r="DY27" s="155">
        <f t="shared" si="1"/>
        <v>0</v>
      </c>
      <c r="DZ27" s="155">
        <f t="shared" si="1"/>
        <v>0</v>
      </c>
      <c r="EA27" s="155">
        <f t="shared" ref="EA27:GL27" si="2">SUM(EA2:EA26)</f>
        <v>0</v>
      </c>
      <c r="EB27" s="155">
        <f t="shared" si="2"/>
        <v>0</v>
      </c>
      <c r="EC27" s="155">
        <f t="shared" si="2"/>
        <v>0</v>
      </c>
      <c r="ED27" s="155">
        <f t="shared" si="2"/>
        <v>0</v>
      </c>
      <c r="EE27" s="155">
        <f t="shared" si="2"/>
        <v>0</v>
      </c>
      <c r="EF27" s="155">
        <f t="shared" si="2"/>
        <v>0</v>
      </c>
      <c r="EG27" s="155">
        <f t="shared" si="2"/>
        <v>0</v>
      </c>
      <c r="EH27" s="155">
        <f t="shared" si="2"/>
        <v>0</v>
      </c>
      <c r="EI27" s="155">
        <f t="shared" si="2"/>
        <v>0</v>
      </c>
      <c r="EJ27" s="155">
        <f t="shared" si="2"/>
        <v>0</v>
      </c>
      <c r="EK27" s="155">
        <f t="shared" si="2"/>
        <v>0</v>
      </c>
      <c r="EL27" s="155">
        <f t="shared" si="2"/>
        <v>0</v>
      </c>
      <c r="EM27" s="155">
        <f t="shared" si="2"/>
        <v>0</v>
      </c>
      <c r="EN27" s="155">
        <f t="shared" si="2"/>
        <v>0</v>
      </c>
      <c r="EO27" s="155">
        <f t="shared" si="2"/>
        <v>0</v>
      </c>
      <c r="EP27" s="155">
        <f t="shared" si="2"/>
        <v>0</v>
      </c>
      <c r="EQ27" s="155">
        <f t="shared" si="2"/>
        <v>0</v>
      </c>
      <c r="ER27" s="155">
        <f t="shared" si="2"/>
        <v>0</v>
      </c>
      <c r="ES27" s="155">
        <f t="shared" si="2"/>
        <v>0</v>
      </c>
      <c r="ET27" s="155">
        <f t="shared" si="2"/>
        <v>0</v>
      </c>
      <c r="EU27" s="155">
        <f t="shared" si="2"/>
        <v>0</v>
      </c>
      <c r="EV27" s="155">
        <f t="shared" si="2"/>
        <v>0</v>
      </c>
      <c r="EW27" s="155">
        <f t="shared" si="2"/>
        <v>0</v>
      </c>
      <c r="EX27" s="155">
        <f t="shared" si="2"/>
        <v>0</v>
      </c>
      <c r="EY27" s="155">
        <f t="shared" si="2"/>
        <v>0</v>
      </c>
      <c r="EZ27" s="155">
        <f t="shared" si="2"/>
        <v>0</v>
      </c>
      <c r="FA27" s="155">
        <f t="shared" si="2"/>
        <v>0</v>
      </c>
      <c r="FB27" s="155">
        <f t="shared" si="2"/>
        <v>0</v>
      </c>
      <c r="FC27" s="155">
        <f t="shared" si="2"/>
        <v>0</v>
      </c>
      <c r="FD27" s="155">
        <f t="shared" si="2"/>
        <v>0</v>
      </c>
      <c r="FE27" s="155">
        <f t="shared" si="2"/>
        <v>0</v>
      </c>
      <c r="FF27" s="155">
        <f t="shared" si="2"/>
        <v>0</v>
      </c>
      <c r="FG27" s="155">
        <f t="shared" si="2"/>
        <v>0</v>
      </c>
      <c r="FH27" s="155">
        <f t="shared" si="2"/>
        <v>0</v>
      </c>
      <c r="FI27" s="155">
        <f t="shared" si="2"/>
        <v>0</v>
      </c>
      <c r="FJ27" s="155">
        <f t="shared" si="2"/>
        <v>0</v>
      </c>
      <c r="FK27" s="155">
        <f t="shared" si="2"/>
        <v>0</v>
      </c>
      <c r="FL27" s="155">
        <f t="shared" si="2"/>
        <v>0</v>
      </c>
      <c r="FM27" s="155">
        <f t="shared" si="2"/>
        <v>0</v>
      </c>
      <c r="FN27" s="155">
        <f t="shared" si="2"/>
        <v>0</v>
      </c>
      <c r="FO27" s="155">
        <f t="shared" si="2"/>
        <v>0</v>
      </c>
      <c r="FP27" s="155">
        <f t="shared" si="2"/>
        <v>0</v>
      </c>
      <c r="FQ27" s="155">
        <f t="shared" si="2"/>
        <v>0</v>
      </c>
      <c r="FR27" s="155">
        <f t="shared" si="2"/>
        <v>0</v>
      </c>
      <c r="FS27" s="155">
        <f t="shared" si="2"/>
        <v>0</v>
      </c>
      <c r="FT27" s="155">
        <f t="shared" si="2"/>
        <v>0</v>
      </c>
      <c r="FU27" s="155">
        <f t="shared" si="2"/>
        <v>0</v>
      </c>
      <c r="FV27" s="155">
        <f t="shared" si="2"/>
        <v>0</v>
      </c>
      <c r="FW27" s="155">
        <f t="shared" si="2"/>
        <v>0</v>
      </c>
      <c r="FX27" s="155">
        <f t="shared" si="2"/>
        <v>0</v>
      </c>
      <c r="FY27" s="155">
        <f t="shared" si="2"/>
        <v>0</v>
      </c>
      <c r="FZ27" s="155">
        <f t="shared" si="2"/>
        <v>0</v>
      </c>
      <c r="GA27" s="155">
        <f t="shared" si="2"/>
        <v>0</v>
      </c>
      <c r="GB27" s="155">
        <f t="shared" si="2"/>
        <v>0</v>
      </c>
      <c r="GC27" s="155">
        <f t="shared" si="2"/>
        <v>0</v>
      </c>
      <c r="GD27" s="155">
        <f t="shared" si="2"/>
        <v>0</v>
      </c>
      <c r="GE27" s="155">
        <f t="shared" si="2"/>
        <v>0</v>
      </c>
      <c r="GF27" s="155">
        <f t="shared" si="2"/>
        <v>0</v>
      </c>
      <c r="GG27" s="155">
        <f t="shared" si="2"/>
        <v>0</v>
      </c>
      <c r="GH27" s="155">
        <f t="shared" si="2"/>
        <v>0</v>
      </c>
      <c r="GI27" s="155">
        <f t="shared" si="2"/>
        <v>0</v>
      </c>
      <c r="GJ27" s="155">
        <f t="shared" si="2"/>
        <v>0</v>
      </c>
      <c r="GK27" s="155">
        <f t="shared" si="2"/>
        <v>0</v>
      </c>
      <c r="GL27" s="155">
        <f t="shared" si="2"/>
        <v>0</v>
      </c>
      <c r="GM27" s="155">
        <f t="shared" ref="GM27:IX27" si="3">SUM(GM2:GM26)</f>
        <v>0</v>
      </c>
      <c r="GN27" s="155">
        <f t="shared" si="3"/>
        <v>0</v>
      </c>
      <c r="GO27" s="155">
        <f t="shared" si="3"/>
        <v>0</v>
      </c>
      <c r="GP27" s="155">
        <f t="shared" si="3"/>
        <v>0</v>
      </c>
      <c r="GQ27" s="155">
        <f t="shared" si="3"/>
        <v>0</v>
      </c>
      <c r="GR27" s="155">
        <f t="shared" si="3"/>
        <v>0</v>
      </c>
      <c r="GS27" s="155">
        <f t="shared" si="3"/>
        <v>0</v>
      </c>
      <c r="GT27" s="155">
        <f t="shared" si="3"/>
        <v>0</v>
      </c>
      <c r="GU27" s="155">
        <f t="shared" si="3"/>
        <v>0</v>
      </c>
      <c r="GV27" s="155">
        <f t="shared" si="3"/>
        <v>0</v>
      </c>
      <c r="GW27" s="155">
        <f t="shared" si="3"/>
        <v>0</v>
      </c>
      <c r="GX27" s="155">
        <f t="shared" si="3"/>
        <v>0</v>
      </c>
      <c r="GY27" s="155">
        <f t="shared" si="3"/>
        <v>0</v>
      </c>
      <c r="GZ27" s="155">
        <f t="shared" si="3"/>
        <v>0</v>
      </c>
      <c r="HA27" s="155">
        <f t="shared" si="3"/>
        <v>0</v>
      </c>
      <c r="HB27" s="155">
        <f t="shared" si="3"/>
        <v>0</v>
      </c>
      <c r="HC27" s="155">
        <f t="shared" si="3"/>
        <v>0</v>
      </c>
      <c r="HD27" s="155">
        <f t="shared" si="3"/>
        <v>0</v>
      </c>
      <c r="HE27" s="155">
        <f t="shared" si="3"/>
        <v>0</v>
      </c>
      <c r="HF27" s="155">
        <f t="shared" si="3"/>
        <v>0</v>
      </c>
      <c r="HG27" s="155">
        <f t="shared" si="3"/>
        <v>0</v>
      </c>
      <c r="HH27" s="155">
        <f t="shared" si="3"/>
        <v>0</v>
      </c>
      <c r="HI27" s="155">
        <f t="shared" si="3"/>
        <v>0</v>
      </c>
      <c r="HJ27" s="155">
        <f t="shared" si="3"/>
        <v>0</v>
      </c>
      <c r="HK27" s="155">
        <f t="shared" si="3"/>
        <v>0</v>
      </c>
      <c r="HL27" s="155">
        <f t="shared" si="3"/>
        <v>0</v>
      </c>
      <c r="HM27" s="155">
        <f t="shared" si="3"/>
        <v>0</v>
      </c>
      <c r="HN27" s="155">
        <f t="shared" si="3"/>
        <v>0</v>
      </c>
      <c r="HO27" s="155">
        <f t="shared" si="3"/>
        <v>0</v>
      </c>
      <c r="HP27" s="155">
        <f t="shared" si="3"/>
        <v>0</v>
      </c>
      <c r="HQ27" s="155">
        <f t="shared" si="3"/>
        <v>0</v>
      </c>
      <c r="HR27" s="155">
        <f t="shared" si="3"/>
        <v>0</v>
      </c>
      <c r="HS27" s="155">
        <f t="shared" si="3"/>
        <v>0</v>
      </c>
      <c r="HT27" s="155">
        <f t="shared" si="3"/>
        <v>0</v>
      </c>
      <c r="HU27" s="155">
        <f t="shared" si="3"/>
        <v>0</v>
      </c>
      <c r="HV27" s="155">
        <f t="shared" si="3"/>
        <v>0</v>
      </c>
      <c r="HW27" s="155">
        <f t="shared" si="3"/>
        <v>0</v>
      </c>
      <c r="HX27" s="155">
        <f t="shared" si="3"/>
        <v>0</v>
      </c>
      <c r="HY27" s="155">
        <f t="shared" si="3"/>
        <v>0</v>
      </c>
      <c r="HZ27" s="155">
        <f t="shared" si="3"/>
        <v>0</v>
      </c>
      <c r="IA27" s="155">
        <f t="shared" si="3"/>
        <v>0</v>
      </c>
      <c r="IB27" s="155">
        <f t="shared" si="3"/>
        <v>0</v>
      </c>
      <c r="IC27" s="155">
        <f t="shared" si="3"/>
        <v>0</v>
      </c>
      <c r="ID27" s="155">
        <f t="shared" si="3"/>
        <v>0</v>
      </c>
      <c r="IE27" s="155">
        <f t="shared" si="3"/>
        <v>0</v>
      </c>
      <c r="IF27" s="155">
        <f t="shared" si="3"/>
        <v>0</v>
      </c>
      <c r="IG27" s="155">
        <f t="shared" si="3"/>
        <v>0</v>
      </c>
      <c r="IH27" s="155">
        <f t="shared" si="3"/>
        <v>0</v>
      </c>
      <c r="II27" s="155">
        <f t="shared" si="3"/>
        <v>0</v>
      </c>
      <c r="IJ27" s="155">
        <f t="shared" si="3"/>
        <v>0</v>
      </c>
      <c r="IK27" s="155">
        <f t="shared" si="3"/>
        <v>0</v>
      </c>
      <c r="IL27" s="155">
        <f t="shared" si="3"/>
        <v>0</v>
      </c>
      <c r="IM27" s="155">
        <f t="shared" si="3"/>
        <v>0</v>
      </c>
      <c r="IN27" s="155">
        <f t="shared" si="3"/>
        <v>0</v>
      </c>
      <c r="IO27" s="155">
        <f t="shared" si="3"/>
        <v>0</v>
      </c>
      <c r="IP27" s="155">
        <f t="shared" si="3"/>
        <v>0</v>
      </c>
      <c r="IQ27" s="155">
        <f t="shared" si="3"/>
        <v>0</v>
      </c>
      <c r="IR27" s="155">
        <f t="shared" si="3"/>
        <v>0</v>
      </c>
      <c r="IS27" s="155">
        <f t="shared" si="3"/>
        <v>0</v>
      </c>
      <c r="IT27" s="155">
        <f t="shared" si="3"/>
        <v>0</v>
      </c>
      <c r="IU27" s="155">
        <f t="shared" si="3"/>
        <v>0</v>
      </c>
      <c r="IV27" s="155">
        <f t="shared" si="3"/>
        <v>0</v>
      </c>
      <c r="IW27" s="155">
        <f t="shared" si="3"/>
        <v>0</v>
      </c>
      <c r="IX27" s="155">
        <f t="shared" si="3"/>
        <v>0</v>
      </c>
      <c r="IY27" s="155">
        <f t="shared" ref="IY27:KC27" si="4">SUM(IY2:IY26)</f>
        <v>0</v>
      </c>
      <c r="IZ27" s="155">
        <f t="shared" si="4"/>
        <v>0</v>
      </c>
      <c r="JA27" s="155">
        <f t="shared" si="4"/>
        <v>0</v>
      </c>
      <c r="JB27" s="155">
        <f t="shared" si="4"/>
        <v>0</v>
      </c>
      <c r="JC27" s="155">
        <f t="shared" si="4"/>
        <v>0</v>
      </c>
      <c r="JD27" s="155">
        <f t="shared" si="4"/>
        <v>0</v>
      </c>
      <c r="JE27" s="155">
        <f t="shared" si="4"/>
        <v>0</v>
      </c>
      <c r="JF27" s="155">
        <f t="shared" si="4"/>
        <v>0</v>
      </c>
      <c r="JG27" s="155">
        <f t="shared" si="4"/>
        <v>0</v>
      </c>
      <c r="JH27" s="155">
        <f t="shared" si="4"/>
        <v>0</v>
      </c>
      <c r="JI27" s="155">
        <f t="shared" si="4"/>
        <v>0</v>
      </c>
      <c r="JJ27" s="155">
        <f t="shared" si="4"/>
        <v>0</v>
      </c>
      <c r="JK27" s="155">
        <f t="shared" si="4"/>
        <v>0</v>
      </c>
      <c r="JL27" s="155">
        <f t="shared" si="4"/>
        <v>0</v>
      </c>
      <c r="JM27" s="155">
        <f t="shared" si="4"/>
        <v>0</v>
      </c>
      <c r="JN27" s="155">
        <f t="shared" si="4"/>
        <v>0</v>
      </c>
      <c r="JO27" s="155">
        <f t="shared" si="4"/>
        <v>0</v>
      </c>
      <c r="JP27" s="155">
        <f t="shared" si="4"/>
        <v>0</v>
      </c>
      <c r="JQ27" s="155">
        <f t="shared" si="4"/>
        <v>0</v>
      </c>
      <c r="JR27" s="155">
        <f t="shared" si="4"/>
        <v>0</v>
      </c>
      <c r="JS27" s="155">
        <f t="shared" si="4"/>
        <v>0</v>
      </c>
      <c r="JT27" s="155">
        <f t="shared" si="4"/>
        <v>0</v>
      </c>
      <c r="JU27" s="155">
        <f t="shared" si="4"/>
        <v>0</v>
      </c>
      <c r="JV27" s="155">
        <f t="shared" si="4"/>
        <v>0</v>
      </c>
      <c r="JW27" s="155">
        <f t="shared" si="4"/>
        <v>0</v>
      </c>
      <c r="JX27" s="155">
        <f t="shared" si="4"/>
        <v>0</v>
      </c>
      <c r="JY27" s="155">
        <f t="shared" si="4"/>
        <v>0</v>
      </c>
      <c r="JZ27" s="155">
        <f t="shared" si="4"/>
        <v>0</v>
      </c>
      <c r="KA27" s="155">
        <f t="shared" si="4"/>
        <v>0</v>
      </c>
      <c r="KB27" s="155">
        <f t="shared" si="4"/>
        <v>0</v>
      </c>
      <c r="KC27" s="155">
        <f t="shared" si="4"/>
        <v>0</v>
      </c>
    </row>
    <row r="28" spans="1:289">
      <c r="B28" s="165" t="str">
        <f>B1</f>
        <v>0000</v>
      </c>
      <c r="C28" s="165" t="str">
        <f t="shared" ref="C28:BN28" si="5">C1</f>
        <v>0005</v>
      </c>
      <c r="D28" s="165" t="str">
        <f t="shared" si="5"/>
        <v>0010</v>
      </c>
      <c r="E28" s="165" t="str">
        <f t="shared" si="5"/>
        <v>0015</v>
      </c>
      <c r="F28" s="165" t="str">
        <f t="shared" si="5"/>
        <v>0020</v>
      </c>
      <c r="G28" s="165" t="str">
        <f t="shared" si="5"/>
        <v>0025</v>
      </c>
      <c r="H28" s="165" t="str">
        <f t="shared" si="5"/>
        <v>0030</v>
      </c>
      <c r="I28" s="165" t="str">
        <f t="shared" si="5"/>
        <v>0035</v>
      </c>
      <c r="J28" s="165" t="str">
        <f t="shared" si="5"/>
        <v>0040</v>
      </c>
      <c r="K28" s="165" t="str">
        <f t="shared" si="5"/>
        <v>0045</v>
      </c>
      <c r="L28" s="165" t="str">
        <f t="shared" si="5"/>
        <v>0050</v>
      </c>
      <c r="M28" s="165" t="str">
        <f t="shared" si="5"/>
        <v>0055</v>
      </c>
      <c r="N28" s="165" t="str">
        <f t="shared" si="5"/>
        <v>0100</v>
      </c>
      <c r="O28" s="165" t="str">
        <f t="shared" si="5"/>
        <v>0105</v>
      </c>
      <c r="P28" s="165" t="str">
        <f t="shared" si="5"/>
        <v>0110</v>
      </c>
      <c r="Q28" s="165" t="str">
        <f t="shared" si="5"/>
        <v>0115</v>
      </c>
      <c r="R28" s="165" t="str">
        <f t="shared" si="5"/>
        <v>0120</v>
      </c>
      <c r="S28" s="165" t="str">
        <f t="shared" si="5"/>
        <v>0125</v>
      </c>
      <c r="T28" s="165" t="str">
        <f t="shared" si="5"/>
        <v>0130</v>
      </c>
      <c r="U28" s="165" t="str">
        <f t="shared" si="5"/>
        <v>0135</v>
      </c>
      <c r="V28" s="165" t="str">
        <f t="shared" si="5"/>
        <v>0140</v>
      </c>
      <c r="W28" s="165" t="str">
        <f t="shared" si="5"/>
        <v>0145</v>
      </c>
      <c r="X28" s="165" t="str">
        <f t="shared" si="5"/>
        <v>0150</v>
      </c>
      <c r="Y28" s="165" t="str">
        <f t="shared" si="5"/>
        <v>0155</v>
      </c>
      <c r="Z28" s="165" t="str">
        <f t="shared" si="5"/>
        <v>0200</v>
      </c>
      <c r="AA28" s="165" t="str">
        <f t="shared" si="5"/>
        <v>0205</v>
      </c>
      <c r="AB28" s="165" t="str">
        <f t="shared" si="5"/>
        <v>0210</v>
      </c>
      <c r="AC28" s="165" t="str">
        <f t="shared" si="5"/>
        <v>0215</v>
      </c>
      <c r="AD28" s="165" t="str">
        <f t="shared" si="5"/>
        <v>0220</v>
      </c>
      <c r="AE28" s="165" t="str">
        <f t="shared" si="5"/>
        <v>0225</v>
      </c>
      <c r="AF28" s="165" t="str">
        <f t="shared" si="5"/>
        <v>0230</v>
      </c>
      <c r="AG28" s="165" t="str">
        <f t="shared" si="5"/>
        <v>0235</v>
      </c>
      <c r="AH28" s="165" t="str">
        <f t="shared" si="5"/>
        <v>0240</v>
      </c>
      <c r="AI28" s="165" t="str">
        <f t="shared" si="5"/>
        <v>0245</v>
      </c>
      <c r="AJ28" s="165" t="str">
        <f t="shared" si="5"/>
        <v>0250</v>
      </c>
      <c r="AK28" s="165" t="str">
        <f t="shared" si="5"/>
        <v>0255</v>
      </c>
      <c r="AL28" s="165" t="str">
        <f t="shared" si="5"/>
        <v>0300</v>
      </c>
      <c r="AM28" s="165" t="str">
        <f t="shared" si="5"/>
        <v>0305</v>
      </c>
      <c r="AN28" s="165" t="str">
        <f t="shared" si="5"/>
        <v>0310</v>
      </c>
      <c r="AO28" s="165" t="str">
        <f t="shared" si="5"/>
        <v>0315</v>
      </c>
      <c r="AP28" s="165" t="str">
        <f t="shared" si="5"/>
        <v>0320</v>
      </c>
      <c r="AQ28" s="165" t="str">
        <f t="shared" si="5"/>
        <v>0325</v>
      </c>
      <c r="AR28" s="165" t="str">
        <f t="shared" si="5"/>
        <v>0330</v>
      </c>
      <c r="AS28" s="165" t="str">
        <f t="shared" si="5"/>
        <v>0335</v>
      </c>
      <c r="AT28" s="165" t="str">
        <f t="shared" si="5"/>
        <v>0340</v>
      </c>
      <c r="AU28" s="165" t="str">
        <f t="shared" si="5"/>
        <v>0345</v>
      </c>
      <c r="AV28" s="165" t="str">
        <f t="shared" si="5"/>
        <v>0350</v>
      </c>
      <c r="AW28" s="165" t="str">
        <f t="shared" si="5"/>
        <v>0355</v>
      </c>
      <c r="AX28" s="165" t="str">
        <f t="shared" si="5"/>
        <v>0400</v>
      </c>
      <c r="AY28" s="165" t="str">
        <f t="shared" si="5"/>
        <v>0405</v>
      </c>
      <c r="AZ28" s="165" t="str">
        <f t="shared" si="5"/>
        <v>0410</v>
      </c>
      <c r="BA28" s="165" t="str">
        <f t="shared" si="5"/>
        <v>0415</v>
      </c>
      <c r="BB28" s="165" t="str">
        <f t="shared" si="5"/>
        <v>0420</v>
      </c>
      <c r="BC28" s="165" t="str">
        <f t="shared" si="5"/>
        <v>0425</v>
      </c>
      <c r="BD28" s="165" t="str">
        <f t="shared" si="5"/>
        <v>0430</v>
      </c>
      <c r="BE28" s="165" t="str">
        <f t="shared" si="5"/>
        <v>0435</v>
      </c>
      <c r="BF28" s="165" t="str">
        <f t="shared" si="5"/>
        <v>0440</v>
      </c>
      <c r="BG28" s="165" t="str">
        <f t="shared" si="5"/>
        <v>0445</v>
      </c>
      <c r="BH28" s="165" t="str">
        <f t="shared" si="5"/>
        <v>0450</v>
      </c>
      <c r="BI28" s="165" t="str">
        <f t="shared" si="5"/>
        <v>0455</v>
      </c>
      <c r="BJ28" s="165" t="str">
        <f t="shared" si="5"/>
        <v>0500</v>
      </c>
      <c r="BK28" s="165" t="str">
        <f t="shared" si="5"/>
        <v>0505</v>
      </c>
      <c r="BL28" s="165" t="str">
        <f t="shared" si="5"/>
        <v>0510</v>
      </c>
      <c r="BM28" s="165" t="str">
        <f t="shared" si="5"/>
        <v>0515</v>
      </c>
      <c r="BN28" s="165" t="str">
        <f t="shared" si="5"/>
        <v>0520</v>
      </c>
      <c r="BO28" s="165" t="str">
        <f t="shared" ref="BO28:DZ28" si="6">BO1</f>
        <v>0525</v>
      </c>
      <c r="BP28" s="165" t="str">
        <f t="shared" si="6"/>
        <v>0530</v>
      </c>
      <c r="BQ28" s="165" t="str">
        <f t="shared" si="6"/>
        <v>0535</v>
      </c>
      <c r="BR28" s="165" t="str">
        <f t="shared" si="6"/>
        <v>0540</v>
      </c>
      <c r="BS28" s="165" t="str">
        <f t="shared" si="6"/>
        <v>0545</v>
      </c>
      <c r="BT28" s="165" t="str">
        <f t="shared" si="6"/>
        <v>0550</v>
      </c>
      <c r="BU28" s="165" t="str">
        <f t="shared" si="6"/>
        <v>0555</v>
      </c>
      <c r="BV28" s="165" t="str">
        <f t="shared" si="6"/>
        <v>0600</v>
      </c>
      <c r="BW28" s="165" t="str">
        <f t="shared" si="6"/>
        <v>0605</v>
      </c>
      <c r="BX28" s="165" t="str">
        <f t="shared" si="6"/>
        <v>0610</v>
      </c>
      <c r="BY28" s="165" t="str">
        <f t="shared" si="6"/>
        <v>0615</v>
      </c>
      <c r="BZ28" s="165" t="str">
        <f t="shared" si="6"/>
        <v>0620</v>
      </c>
      <c r="CA28" s="165" t="str">
        <f t="shared" si="6"/>
        <v>0625</v>
      </c>
      <c r="CB28" s="165" t="str">
        <f t="shared" si="6"/>
        <v>0630</v>
      </c>
      <c r="CC28" s="165" t="str">
        <f t="shared" si="6"/>
        <v>0635</v>
      </c>
      <c r="CD28" s="165" t="str">
        <f t="shared" si="6"/>
        <v>0640</v>
      </c>
      <c r="CE28" s="165" t="str">
        <f t="shared" si="6"/>
        <v>0645</v>
      </c>
      <c r="CF28" s="165" t="str">
        <f t="shared" si="6"/>
        <v>0650</v>
      </c>
      <c r="CG28" s="165" t="str">
        <f t="shared" si="6"/>
        <v>0655</v>
      </c>
      <c r="CH28" s="165" t="str">
        <f t="shared" si="6"/>
        <v>0700</v>
      </c>
      <c r="CI28" s="165" t="str">
        <f t="shared" si="6"/>
        <v>0705</v>
      </c>
      <c r="CJ28" s="165" t="str">
        <f t="shared" si="6"/>
        <v>0710</v>
      </c>
      <c r="CK28" s="165" t="str">
        <f t="shared" si="6"/>
        <v>0715</v>
      </c>
      <c r="CL28" s="165" t="str">
        <f t="shared" si="6"/>
        <v>0720</v>
      </c>
      <c r="CM28" s="165" t="str">
        <f t="shared" si="6"/>
        <v>0725</v>
      </c>
      <c r="CN28" s="165" t="str">
        <f t="shared" si="6"/>
        <v>0730</v>
      </c>
      <c r="CO28" s="165" t="str">
        <f t="shared" si="6"/>
        <v>0735</v>
      </c>
      <c r="CP28" s="165" t="str">
        <f t="shared" si="6"/>
        <v>0740</v>
      </c>
      <c r="CQ28" s="165" t="str">
        <f t="shared" si="6"/>
        <v>0745</v>
      </c>
      <c r="CR28" s="165" t="str">
        <f t="shared" si="6"/>
        <v>0750</v>
      </c>
      <c r="CS28" s="165" t="str">
        <f t="shared" si="6"/>
        <v>0755</v>
      </c>
      <c r="CT28" s="165" t="str">
        <f t="shared" si="6"/>
        <v>0800</v>
      </c>
      <c r="CU28" s="165" t="str">
        <f t="shared" si="6"/>
        <v>0805</v>
      </c>
      <c r="CV28" s="165" t="str">
        <f t="shared" si="6"/>
        <v>0810</v>
      </c>
      <c r="CW28" s="165" t="str">
        <f t="shared" si="6"/>
        <v>0815</v>
      </c>
      <c r="CX28" s="165" t="str">
        <f t="shared" si="6"/>
        <v>0820</v>
      </c>
      <c r="CY28" s="165" t="str">
        <f t="shared" si="6"/>
        <v>0825</v>
      </c>
      <c r="CZ28" s="165" t="str">
        <f t="shared" si="6"/>
        <v>0830</v>
      </c>
      <c r="DA28" s="165" t="str">
        <f t="shared" si="6"/>
        <v>0835</v>
      </c>
      <c r="DB28" s="165" t="str">
        <f t="shared" si="6"/>
        <v>0840</v>
      </c>
      <c r="DC28" s="165" t="str">
        <f t="shared" si="6"/>
        <v>0845</v>
      </c>
      <c r="DD28" s="165" t="str">
        <f t="shared" si="6"/>
        <v>0850</v>
      </c>
      <c r="DE28" s="165" t="str">
        <f t="shared" si="6"/>
        <v>0855</v>
      </c>
      <c r="DF28" s="165" t="str">
        <f t="shared" si="6"/>
        <v>0900</v>
      </c>
      <c r="DG28" s="165" t="str">
        <f t="shared" si="6"/>
        <v>0905</v>
      </c>
      <c r="DH28" s="165" t="str">
        <f t="shared" si="6"/>
        <v>0910</v>
      </c>
      <c r="DI28" s="165" t="str">
        <f t="shared" si="6"/>
        <v>0915</v>
      </c>
      <c r="DJ28" s="165" t="str">
        <f t="shared" si="6"/>
        <v>0920</v>
      </c>
      <c r="DK28" s="165" t="str">
        <f t="shared" si="6"/>
        <v>0925</v>
      </c>
      <c r="DL28" s="165" t="str">
        <f t="shared" si="6"/>
        <v>0930</v>
      </c>
      <c r="DM28" s="165" t="str">
        <f t="shared" si="6"/>
        <v>0935</v>
      </c>
      <c r="DN28" s="165" t="str">
        <f t="shared" si="6"/>
        <v>0940</v>
      </c>
      <c r="DO28" s="165" t="str">
        <f t="shared" si="6"/>
        <v>0945</v>
      </c>
      <c r="DP28" s="165" t="str">
        <f t="shared" si="6"/>
        <v>0950</v>
      </c>
      <c r="DQ28" s="165" t="str">
        <f t="shared" si="6"/>
        <v>0955</v>
      </c>
      <c r="DR28" s="165" t="str">
        <f t="shared" si="6"/>
        <v>1000</v>
      </c>
      <c r="DS28" s="165" t="str">
        <f t="shared" si="6"/>
        <v>1005</v>
      </c>
      <c r="DT28" s="165" t="str">
        <f t="shared" si="6"/>
        <v>1010</v>
      </c>
      <c r="DU28" s="165" t="str">
        <f t="shared" si="6"/>
        <v>1015</v>
      </c>
      <c r="DV28" s="165" t="str">
        <f t="shared" si="6"/>
        <v>1020</v>
      </c>
      <c r="DW28" s="165" t="str">
        <f t="shared" si="6"/>
        <v>1025</v>
      </c>
      <c r="DX28" s="165" t="str">
        <f t="shared" si="6"/>
        <v>1030</v>
      </c>
      <c r="DY28" s="165" t="str">
        <f t="shared" si="6"/>
        <v>1035</v>
      </c>
      <c r="DZ28" s="165" t="str">
        <f t="shared" si="6"/>
        <v>1040</v>
      </c>
      <c r="EA28" s="165" t="str">
        <f t="shared" ref="EA28:GL28" si="7">EA1</f>
        <v>1045</v>
      </c>
      <c r="EB28" s="165" t="str">
        <f t="shared" si="7"/>
        <v>1050</v>
      </c>
      <c r="EC28" s="165" t="str">
        <f t="shared" si="7"/>
        <v>1055</v>
      </c>
      <c r="ED28" s="165" t="str">
        <f t="shared" si="7"/>
        <v>1100</v>
      </c>
      <c r="EE28" s="165" t="str">
        <f t="shared" si="7"/>
        <v>1105</v>
      </c>
      <c r="EF28" s="165" t="str">
        <f t="shared" si="7"/>
        <v>1110</v>
      </c>
      <c r="EG28" s="165" t="str">
        <f t="shared" si="7"/>
        <v>1115</v>
      </c>
      <c r="EH28" s="165" t="str">
        <f t="shared" si="7"/>
        <v>1120</v>
      </c>
      <c r="EI28" s="165" t="str">
        <f t="shared" si="7"/>
        <v>1125</v>
      </c>
      <c r="EJ28" s="165" t="str">
        <f t="shared" si="7"/>
        <v>1130</v>
      </c>
      <c r="EK28" s="165" t="str">
        <f t="shared" si="7"/>
        <v>1135</v>
      </c>
      <c r="EL28" s="165" t="str">
        <f t="shared" si="7"/>
        <v>1140</v>
      </c>
      <c r="EM28" s="165" t="str">
        <f t="shared" si="7"/>
        <v>1145</v>
      </c>
      <c r="EN28" s="165" t="str">
        <f t="shared" si="7"/>
        <v>1150</v>
      </c>
      <c r="EO28" s="165" t="str">
        <f t="shared" si="7"/>
        <v>1155</v>
      </c>
      <c r="EP28" s="165" t="str">
        <f t="shared" si="7"/>
        <v>1200</v>
      </c>
      <c r="EQ28" s="165" t="str">
        <f t="shared" si="7"/>
        <v>1205</v>
      </c>
      <c r="ER28" s="165" t="str">
        <f t="shared" si="7"/>
        <v>1210</v>
      </c>
      <c r="ES28" s="165" t="str">
        <f t="shared" si="7"/>
        <v>1215</v>
      </c>
      <c r="ET28" s="165" t="str">
        <f t="shared" si="7"/>
        <v>1220</v>
      </c>
      <c r="EU28" s="165" t="str">
        <f t="shared" si="7"/>
        <v>1225</v>
      </c>
      <c r="EV28" s="165" t="str">
        <f t="shared" si="7"/>
        <v>1230</v>
      </c>
      <c r="EW28" s="165" t="str">
        <f t="shared" si="7"/>
        <v>1235</v>
      </c>
      <c r="EX28" s="165" t="str">
        <f t="shared" si="7"/>
        <v>1240</v>
      </c>
      <c r="EY28" s="165" t="str">
        <f t="shared" si="7"/>
        <v>1245</v>
      </c>
      <c r="EZ28" s="165" t="str">
        <f t="shared" si="7"/>
        <v>1250</v>
      </c>
      <c r="FA28" s="165" t="str">
        <f t="shared" si="7"/>
        <v>1255</v>
      </c>
      <c r="FB28" s="165" t="str">
        <f t="shared" si="7"/>
        <v>1300</v>
      </c>
      <c r="FC28" s="165" t="str">
        <f t="shared" si="7"/>
        <v>1305</v>
      </c>
      <c r="FD28" s="165" t="str">
        <f t="shared" si="7"/>
        <v>1310</v>
      </c>
      <c r="FE28" s="165" t="str">
        <f t="shared" si="7"/>
        <v>1315</v>
      </c>
      <c r="FF28" s="165" t="str">
        <f t="shared" si="7"/>
        <v>1320</v>
      </c>
      <c r="FG28" s="165" t="str">
        <f t="shared" si="7"/>
        <v>1325</v>
      </c>
      <c r="FH28" s="165" t="str">
        <f t="shared" si="7"/>
        <v>1330</v>
      </c>
      <c r="FI28" s="165" t="str">
        <f t="shared" si="7"/>
        <v>1335</v>
      </c>
      <c r="FJ28" s="165" t="str">
        <f t="shared" si="7"/>
        <v>1340</v>
      </c>
      <c r="FK28" s="165" t="str">
        <f t="shared" si="7"/>
        <v>1345</v>
      </c>
      <c r="FL28" s="165" t="str">
        <f t="shared" si="7"/>
        <v>1350</v>
      </c>
      <c r="FM28" s="165" t="str">
        <f t="shared" si="7"/>
        <v>1355</v>
      </c>
      <c r="FN28" s="165" t="str">
        <f t="shared" si="7"/>
        <v>1400</v>
      </c>
      <c r="FO28" s="165" t="str">
        <f t="shared" si="7"/>
        <v>1405</v>
      </c>
      <c r="FP28" s="165" t="str">
        <f t="shared" si="7"/>
        <v>1410</v>
      </c>
      <c r="FQ28" s="165" t="str">
        <f t="shared" si="7"/>
        <v>1415</v>
      </c>
      <c r="FR28" s="165" t="str">
        <f t="shared" si="7"/>
        <v>1420</v>
      </c>
      <c r="FS28" s="165" t="str">
        <f t="shared" si="7"/>
        <v>1425</v>
      </c>
      <c r="FT28" s="165" t="str">
        <f t="shared" si="7"/>
        <v>1430</v>
      </c>
      <c r="FU28" s="165" t="str">
        <f t="shared" si="7"/>
        <v>1435</v>
      </c>
      <c r="FV28" s="165" t="str">
        <f t="shared" si="7"/>
        <v>1440</v>
      </c>
      <c r="FW28" s="165" t="str">
        <f t="shared" si="7"/>
        <v>1445</v>
      </c>
      <c r="FX28" s="165" t="str">
        <f t="shared" si="7"/>
        <v>1450</v>
      </c>
      <c r="FY28" s="165" t="str">
        <f t="shared" si="7"/>
        <v>1455</v>
      </c>
      <c r="FZ28" s="165" t="str">
        <f t="shared" si="7"/>
        <v>1500</v>
      </c>
      <c r="GA28" s="165" t="str">
        <f t="shared" si="7"/>
        <v>1505</v>
      </c>
      <c r="GB28" s="165" t="str">
        <f t="shared" si="7"/>
        <v>1510</v>
      </c>
      <c r="GC28" s="165" t="str">
        <f t="shared" si="7"/>
        <v>1515</v>
      </c>
      <c r="GD28" s="165" t="str">
        <f t="shared" si="7"/>
        <v>1520</v>
      </c>
      <c r="GE28" s="165" t="str">
        <f t="shared" si="7"/>
        <v>1525</v>
      </c>
      <c r="GF28" s="165" t="str">
        <f t="shared" si="7"/>
        <v>1530</v>
      </c>
      <c r="GG28" s="165" t="str">
        <f t="shared" si="7"/>
        <v>1535</v>
      </c>
      <c r="GH28" s="165" t="str">
        <f t="shared" si="7"/>
        <v>1540</v>
      </c>
      <c r="GI28" s="165" t="str">
        <f t="shared" si="7"/>
        <v>1545</v>
      </c>
      <c r="GJ28" s="165" t="str">
        <f t="shared" si="7"/>
        <v>1550</v>
      </c>
      <c r="GK28" s="165" t="str">
        <f t="shared" si="7"/>
        <v>1555</v>
      </c>
      <c r="GL28" s="165" t="str">
        <f t="shared" si="7"/>
        <v>1600</v>
      </c>
      <c r="GM28" s="165" t="str">
        <f t="shared" ref="GM28:IX28" si="8">GM1</f>
        <v>1605</v>
      </c>
      <c r="GN28" s="165" t="str">
        <f t="shared" si="8"/>
        <v>1610</v>
      </c>
      <c r="GO28" s="165" t="str">
        <f t="shared" si="8"/>
        <v>1615</v>
      </c>
      <c r="GP28" s="165" t="str">
        <f t="shared" si="8"/>
        <v>1620</v>
      </c>
      <c r="GQ28" s="165" t="str">
        <f t="shared" si="8"/>
        <v>1625</v>
      </c>
      <c r="GR28" s="165" t="str">
        <f t="shared" si="8"/>
        <v>1630</v>
      </c>
      <c r="GS28" s="165" t="str">
        <f t="shared" si="8"/>
        <v>1635</v>
      </c>
      <c r="GT28" s="165" t="str">
        <f t="shared" si="8"/>
        <v>1640</v>
      </c>
      <c r="GU28" s="165" t="str">
        <f t="shared" si="8"/>
        <v>1645</v>
      </c>
      <c r="GV28" s="165" t="str">
        <f t="shared" si="8"/>
        <v>1650</v>
      </c>
      <c r="GW28" s="165" t="str">
        <f t="shared" si="8"/>
        <v>1655</v>
      </c>
      <c r="GX28" s="165" t="str">
        <f t="shared" si="8"/>
        <v>1700</v>
      </c>
      <c r="GY28" s="165" t="str">
        <f t="shared" si="8"/>
        <v>1705</v>
      </c>
      <c r="GZ28" s="165" t="str">
        <f t="shared" si="8"/>
        <v>1710</v>
      </c>
      <c r="HA28" s="165" t="str">
        <f t="shared" si="8"/>
        <v>1715</v>
      </c>
      <c r="HB28" s="165" t="str">
        <f t="shared" si="8"/>
        <v>1720</v>
      </c>
      <c r="HC28" s="165" t="str">
        <f t="shared" si="8"/>
        <v>1725</v>
      </c>
      <c r="HD28" s="165" t="str">
        <f t="shared" si="8"/>
        <v>1730</v>
      </c>
      <c r="HE28" s="165" t="str">
        <f t="shared" si="8"/>
        <v>1735</v>
      </c>
      <c r="HF28" s="165" t="str">
        <f t="shared" si="8"/>
        <v>1740</v>
      </c>
      <c r="HG28" s="165" t="str">
        <f t="shared" si="8"/>
        <v>1745</v>
      </c>
      <c r="HH28" s="165" t="str">
        <f t="shared" si="8"/>
        <v>1750</v>
      </c>
      <c r="HI28" s="165" t="str">
        <f t="shared" si="8"/>
        <v>1755</v>
      </c>
      <c r="HJ28" s="165" t="str">
        <f t="shared" si="8"/>
        <v>1800</v>
      </c>
      <c r="HK28" s="165" t="str">
        <f t="shared" si="8"/>
        <v>1805</v>
      </c>
      <c r="HL28" s="165" t="str">
        <f t="shared" si="8"/>
        <v>1810</v>
      </c>
      <c r="HM28" s="165" t="str">
        <f t="shared" si="8"/>
        <v>1815</v>
      </c>
      <c r="HN28" s="165" t="str">
        <f t="shared" si="8"/>
        <v>1820</v>
      </c>
      <c r="HO28" s="165" t="str">
        <f t="shared" si="8"/>
        <v>1825</v>
      </c>
      <c r="HP28" s="165" t="str">
        <f t="shared" si="8"/>
        <v>1830</v>
      </c>
      <c r="HQ28" s="165" t="str">
        <f t="shared" si="8"/>
        <v>1835</v>
      </c>
      <c r="HR28" s="165" t="str">
        <f t="shared" si="8"/>
        <v>1840</v>
      </c>
      <c r="HS28" s="165" t="str">
        <f t="shared" si="8"/>
        <v>1845</v>
      </c>
      <c r="HT28" s="165" t="str">
        <f t="shared" si="8"/>
        <v>1850</v>
      </c>
      <c r="HU28" s="165" t="str">
        <f t="shared" si="8"/>
        <v>1855</v>
      </c>
      <c r="HV28" s="165" t="str">
        <f t="shared" si="8"/>
        <v>1900</v>
      </c>
      <c r="HW28" s="165" t="str">
        <f t="shared" si="8"/>
        <v>1905</v>
      </c>
      <c r="HX28" s="165" t="str">
        <f t="shared" si="8"/>
        <v>1910</v>
      </c>
      <c r="HY28" s="165" t="str">
        <f t="shared" si="8"/>
        <v>1915</v>
      </c>
      <c r="HZ28" s="165" t="str">
        <f t="shared" si="8"/>
        <v>1920</v>
      </c>
      <c r="IA28" s="165" t="str">
        <f t="shared" si="8"/>
        <v>1925</v>
      </c>
      <c r="IB28" s="165" t="str">
        <f t="shared" si="8"/>
        <v>1930</v>
      </c>
      <c r="IC28" s="165" t="str">
        <f t="shared" si="8"/>
        <v>1935</v>
      </c>
      <c r="ID28" s="165" t="str">
        <f t="shared" si="8"/>
        <v>1940</v>
      </c>
      <c r="IE28" s="165" t="str">
        <f t="shared" si="8"/>
        <v>1945</v>
      </c>
      <c r="IF28" s="165" t="str">
        <f t="shared" si="8"/>
        <v>1950</v>
      </c>
      <c r="IG28" s="165" t="str">
        <f t="shared" si="8"/>
        <v>1955</v>
      </c>
      <c r="IH28" s="165" t="str">
        <f t="shared" si="8"/>
        <v>2000</v>
      </c>
      <c r="II28" s="165" t="str">
        <f t="shared" si="8"/>
        <v>2005</v>
      </c>
      <c r="IJ28" s="165" t="str">
        <f t="shared" si="8"/>
        <v>2010</v>
      </c>
      <c r="IK28" s="165" t="str">
        <f t="shared" si="8"/>
        <v>2015</v>
      </c>
      <c r="IL28" s="165" t="str">
        <f t="shared" si="8"/>
        <v>2020</v>
      </c>
      <c r="IM28" s="165" t="str">
        <f t="shared" si="8"/>
        <v>2025</v>
      </c>
      <c r="IN28" s="165" t="str">
        <f t="shared" si="8"/>
        <v>2030</v>
      </c>
      <c r="IO28" s="165" t="str">
        <f t="shared" si="8"/>
        <v>2035</v>
      </c>
      <c r="IP28" s="165" t="str">
        <f t="shared" si="8"/>
        <v>2040</v>
      </c>
      <c r="IQ28" s="165" t="str">
        <f t="shared" si="8"/>
        <v>2045</v>
      </c>
      <c r="IR28" s="165" t="str">
        <f t="shared" si="8"/>
        <v>2050</v>
      </c>
      <c r="IS28" s="165" t="str">
        <f t="shared" si="8"/>
        <v>2055</v>
      </c>
      <c r="IT28" s="165" t="str">
        <f t="shared" si="8"/>
        <v>2100</v>
      </c>
      <c r="IU28" s="165" t="str">
        <f t="shared" si="8"/>
        <v>2105</v>
      </c>
      <c r="IV28" s="165" t="str">
        <f t="shared" si="8"/>
        <v>2110</v>
      </c>
      <c r="IW28" s="165" t="str">
        <f t="shared" si="8"/>
        <v>2115</v>
      </c>
      <c r="IX28" s="165" t="str">
        <f t="shared" si="8"/>
        <v>2120</v>
      </c>
      <c r="IY28" s="165" t="str">
        <f t="shared" ref="IY28:KC28" si="9">IY1</f>
        <v>2125</v>
      </c>
      <c r="IZ28" s="165" t="str">
        <f t="shared" si="9"/>
        <v>2130</v>
      </c>
      <c r="JA28" s="165" t="str">
        <f t="shared" si="9"/>
        <v>2135</v>
      </c>
      <c r="JB28" s="165" t="str">
        <f t="shared" si="9"/>
        <v>2140</v>
      </c>
      <c r="JC28" s="165" t="str">
        <f t="shared" si="9"/>
        <v>2145</v>
      </c>
      <c r="JD28" s="165" t="str">
        <f t="shared" si="9"/>
        <v>2150</v>
      </c>
      <c r="JE28" s="165" t="str">
        <f t="shared" si="9"/>
        <v>2155</v>
      </c>
      <c r="JF28" s="165" t="str">
        <f t="shared" si="9"/>
        <v>2200</v>
      </c>
      <c r="JG28" s="165" t="str">
        <f t="shared" si="9"/>
        <v>2205</v>
      </c>
      <c r="JH28" s="165" t="str">
        <f t="shared" si="9"/>
        <v>2210</v>
      </c>
      <c r="JI28" s="165" t="str">
        <f t="shared" si="9"/>
        <v>2215</v>
      </c>
      <c r="JJ28" s="165" t="str">
        <f t="shared" si="9"/>
        <v>2220</v>
      </c>
      <c r="JK28" s="165" t="str">
        <f t="shared" si="9"/>
        <v>2225</v>
      </c>
      <c r="JL28" s="165" t="str">
        <f t="shared" si="9"/>
        <v>2230</v>
      </c>
      <c r="JM28" s="165" t="str">
        <f t="shared" si="9"/>
        <v>2235</v>
      </c>
      <c r="JN28" s="165" t="str">
        <f t="shared" si="9"/>
        <v>2240</v>
      </c>
      <c r="JO28" s="165" t="str">
        <f t="shared" si="9"/>
        <v>2245</v>
      </c>
      <c r="JP28" s="165" t="str">
        <f t="shared" si="9"/>
        <v>2250</v>
      </c>
      <c r="JQ28" s="165" t="str">
        <f t="shared" si="9"/>
        <v>2255</v>
      </c>
      <c r="JR28" s="165" t="str">
        <f t="shared" si="9"/>
        <v>2300</v>
      </c>
      <c r="JS28" s="165" t="str">
        <f t="shared" si="9"/>
        <v>2305</v>
      </c>
      <c r="JT28" s="165" t="str">
        <f t="shared" si="9"/>
        <v>2310</v>
      </c>
      <c r="JU28" s="165" t="str">
        <f t="shared" si="9"/>
        <v>2315</v>
      </c>
      <c r="JV28" s="165" t="str">
        <f t="shared" si="9"/>
        <v>2320</v>
      </c>
      <c r="JW28" s="165" t="str">
        <f t="shared" si="9"/>
        <v>2325</v>
      </c>
      <c r="JX28" s="165" t="str">
        <f t="shared" si="9"/>
        <v>2330</v>
      </c>
      <c r="JY28" s="165" t="str">
        <f t="shared" si="9"/>
        <v>2335</v>
      </c>
      <c r="JZ28" s="165" t="str">
        <f t="shared" si="9"/>
        <v>2340</v>
      </c>
      <c r="KA28" s="165" t="str">
        <f t="shared" si="9"/>
        <v>2345</v>
      </c>
      <c r="KB28" s="165" t="str">
        <f t="shared" si="9"/>
        <v>2350</v>
      </c>
      <c r="KC28" s="165" t="str">
        <f t="shared" si="9"/>
        <v>2355</v>
      </c>
    </row>
    <row r="30" spans="1:289">
      <c r="A30" s="164" t="s">
        <v>444</v>
      </c>
      <c r="B30" s="163">
        <v>2</v>
      </c>
      <c r="C30" s="163">
        <f>B$30+1</f>
        <v>3</v>
      </c>
      <c r="D30" s="163">
        <f t="shared" ref="D30:BO30" si="10">C$30+1</f>
        <v>4</v>
      </c>
      <c r="E30" s="163">
        <f t="shared" si="10"/>
        <v>5</v>
      </c>
      <c r="F30" s="163">
        <f t="shared" si="10"/>
        <v>6</v>
      </c>
      <c r="G30" s="163">
        <f t="shared" si="10"/>
        <v>7</v>
      </c>
      <c r="H30" s="163">
        <f t="shared" si="10"/>
        <v>8</v>
      </c>
      <c r="I30" s="163">
        <f t="shared" si="10"/>
        <v>9</v>
      </c>
      <c r="J30" s="163">
        <f t="shared" si="10"/>
        <v>10</v>
      </c>
      <c r="K30" s="163">
        <f t="shared" si="10"/>
        <v>11</v>
      </c>
      <c r="L30" s="163">
        <f t="shared" si="10"/>
        <v>12</v>
      </c>
      <c r="M30" s="163">
        <f t="shared" si="10"/>
        <v>13</v>
      </c>
      <c r="N30" s="163">
        <f t="shared" si="10"/>
        <v>14</v>
      </c>
      <c r="O30" s="163">
        <f t="shared" si="10"/>
        <v>15</v>
      </c>
      <c r="P30" s="163">
        <f t="shared" si="10"/>
        <v>16</v>
      </c>
      <c r="Q30" s="163">
        <f t="shared" si="10"/>
        <v>17</v>
      </c>
      <c r="R30" s="163">
        <f t="shared" si="10"/>
        <v>18</v>
      </c>
      <c r="S30" s="163">
        <f t="shared" si="10"/>
        <v>19</v>
      </c>
      <c r="T30" s="163">
        <f t="shared" si="10"/>
        <v>20</v>
      </c>
      <c r="U30" s="163">
        <f t="shared" si="10"/>
        <v>21</v>
      </c>
      <c r="V30" s="163">
        <f t="shared" si="10"/>
        <v>22</v>
      </c>
      <c r="W30" s="163">
        <f t="shared" si="10"/>
        <v>23</v>
      </c>
      <c r="X30" s="163">
        <f t="shared" si="10"/>
        <v>24</v>
      </c>
      <c r="Y30" s="163">
        <f t="shared" si="10"/>
        <v>25</v>
      </c>
      <c r="Z30" s="163">
        <f t="shared" si="10"/>
        <v>26</v>
      </c>
      <c r="AA30" s="163">
        <f t="shared" si="10"/>
        <v>27</v>
      </c>
      <c r="AB30" s="163">
        <f t="shared" si="10"/>
        <v>28</v>
      </c>
      <c r="AC30" s="163">
        <f t="shared" si="10"/>
        <v>29</v>
      </c>
      <c r="AD30" s="163">
        <f t="shared" si="10"/>
        <v>30</v>
      </c>
      <c r="AE30" s="163">
        <f t="shared" si="10"/>
        <v>31</v>
      </c>
      <c r="AF30" s="163">
        <f t="shared" si="10"/>
        <v>32</v>
      </c>
      <c r="AG30" s="163">
        <f t="shared" si="10"/>
        <v>33</v>
      </c>
      <c r="AH30" s="163">
        <f t="shared" si="10"/>
        <v>34</v>
      </c>
      <c r="AI30" s="163">
        <f t="shared" si="10"/>
        <v>35</v>
      </c>
      <c r="AJ30" s="163">
        <f t="shared" si="10"/>
        <v>36</v>
      </c>
      <c r="AK30" s="163">
        <f t="shared" si="10"/>
        <v>37</v>
      </c>
      <c r="AL30" s="163">
        <f t="shared" si="10"/>
        <v>38</v>
      </c>
      <c r="AM30" s="163">
        <f t="shared" si="10"/>
        <v>39</v>
      </c>
      <c r="AN30" s="163">
        <f t="shared" si="10"/>
        <v>40</v>
      </c>
      <c r="AO30" s="163">
        <f t="shared" si="10"/>
        <v>41</v>
      </c>
      <c r="AP30" s="163">
        <f t="shared" si="10"/>
        <v>42</v>
      </c>
      <c r="AQ30" s="163">
        <f t="shared" si="10"/>
        <v>43</v>
      </c>
      <c r="AR30" s="163">
        <f t="shared" si="10"/>
        <v>44</v>
      </c>
      <c r="AS30" s="163">
        <f t="shared" si="10"/>
        <v>45</v>
      </c>
      <c r="AT30" s="163">
        <f t="shared" si="10"/>
        <v>46</v>
      </c>
      <c r="AU30" s="163">
        <f t="shared" si="10"/>
        <v>47</v>
      </c>
      <c r="AV30" s="163">
        <f t="shared" si="10"/>
        <v>48</v>
      </c>
      <c r="AW30" s="163">
        <f t="shared" si="10"/>
        <v>49</v>
      </c>
      <c r="AX30" s="163">
        <f t="shared" si="10"/>
        <v>50</v>
      </c>
      <c r="AY30" s="163">
        <f t="shared" si="10"/>
        <v>51</v>
      </c>
      <c r="AZ30" s="163">
        <f t="shared" si="10"/>
        <v>52</v>
      </c>
      <c r="BA30" s="163">
        <f t="shared" si="10"/>
        <v>53</v>
      </c>
      <c r="BB30" s="163">
        <f t="shared" si="10"/>
        <v>54</v>
      </c>
      <c r="BC30" s="163">
        <f t="shared" si="10"/>
        <v>55</v>
      </c>
      <c r="BD30" s="163">
        <f t="shared" si="10"/>
        <v>56</v>
      </c>
      <c r="BE30" s="163">
        <f t="shared" si="10"/>
        <v>57</v>
      </c>
      <c r="BF30" s="163">
        <f t="shared" si="10"/>
        <v>58</v>
      </c>
      <c r="BG30" s="163">
        <f t="shared" si="10"/>
        <v>59</v>
      </c>
      <c r="BH30" s="163">
        <f t="shared" si="10"/>
        <v>60</v>
      </c>
      <c r="BI30" s="163">
        <f t="shared" si="10"/>
        <v>61</v>
      </c>
      <c r="BJ30" s="163">
        <f t="shared" si="10"/>
        <v>62</v>
      </c>
      <c r="BK30" s="163">
        <f t="shared" si="10"/>
        <v>63</v>
      </c>
      <c r="BL30" s="163">
        <f t="shared" si="10"/>
        <v>64</v>
      </c>
      <c r="BM30" s="163">
        <f t="shared" si="10"/>
        <v>65</v>
      </c>
      <c r="BN30" s="163">
        <f t="shared" si="10"/>
        <v>66</v>
      </c>
      <c r="BO30" s="163">
        <f t="shared" si="10"/>
        <v>67</v>
      </c>
      <c r="BP30" s="163">
        <f t="shared" ref="BP30:EA30" si="11">BO$30+1</f>
        <v>68</v>
      </c>
      <c r="BQ30" s="163">
        <f t="shared" si="11"/>
        <v>69</v>
      </c>
      <c r="BR30" s="163">
        <f t="shared" si="11"/>
        <v>70</v>
      </c>
      <c r="BS30" s="163">
        <f t="shared" si="11"/>
        <v>71</v>
      </c>
      <c r="BT30" s="163">
        <f t="shared" si="11"/>
        <v>72</v>
      </c>
      <c r="BU30" s="163">
        <f t="shared" si="11"/>
        <v>73</v>
      </c>
      <c r="BV30" s="163">
        <f t="shared" si="11"/>
        <v>74</v>
      </c>
      <c r="BW30" s="163">
        <f t="shared" si="11"/>
        <v>75</v>
      </c>
      <c r="BX30" s="163">
        <f t="shared" si="11"/>
        <v>76</v>
      </c>
      <c r="BY30" s="163">
        <f t="shared" si="11"/>
        <v>77</v>
      </c>
      <c r="BZ30" s="163">
        <f t="shared" si="11"/>
        <v>78</v>
      </c>
      <c r="CA30" s="163">
        <f t="shared" si="11"/>
        <v>79</v>
      </c>
      <c r="CB30" s="163">
        <f t="shared" si="11"/>
        <v>80</v>
      </c>
      <c r="CC30" s="163">
        <f t="shared" si="11"/>
        <v>81</v>
      </c>
      <c r="CD30" s="163">
        <f t="shared" si="11"/>
        <v>82</v>
      </c>
      <c r="CE30" s="163">
        <f t="shared" si="11"/>
        <v>83</v>
      </c>
      <c r="CF30" s="163">
        <f t="shared" si="11"/>
        <v>84</v>
      </c>
      <c r="CG30" s="163">
        <f t="shared" si="11"/>
        <v>85</v>
      </c>
      <c r="CH30" s="163">
        <f t="shared" si="11"/>
        <v>86</v>
      </c>
      <c r="CI30" s="163">
        <f t="shared" si="11"/>
        <v>87</v>
      </c>
      <c r="CJ30" s="163">
        <f t="shared" si="11"/>
        <v>88</v>
      </c>
      <c r="CK30" s="163">
        <f t="shared" si="11"/>
        <v>89</v>
      </c>
      <c r="CL30" s="163">
        <f t="shared" si="11"/>
        <v>90</v>
      </c>
      <c r="CM30" s="163">
        <f t="shared" si="11"/>
        <v>91</v>
      </c>
      <c r="CN30" s="163">
        <f t="shared" si="11"/>
        <v>92</v>
      </c>
      <c r="CO30" s="163">
        <f t="shared" si="11"/>
        <v>93</v>
      </c>
      <c r="CP30" s="163">
        <f t="shared" si="11"/>
        <v>94</v>
      </c>
      <c r="CQ30" s="163">
        <f t="shared" si="11"/>
        <v>95</v>
      </c>
      <c r="CR30" s="163">
        <f t="shared" si="11"/>
        <v>96</v>
      </c>
      <c r="CS30" s="163">
        <f t="shared" si="11"/>
        <v>97</v>
      </c>
      <c r="CT30" s="163">
        <f t="shared" si="11"/>
        <v>98</v>
      </c>
      <c r="CU30" s="163">
        <f t="shared" si="11"/>
        <v>99</v>
      </c>
      <c r="CV30" s="163">
        <f t="shared" si="11"/>
        <v>100</v>
      </c>
      <c r="CW30" s="163">
        <f t="shared" si="11"/>
        <v>101</v>
      </c>
      <c r="CX30" s="163">
        <f t="shared" si="11"/>
        <v>102</v>
      </c>
      <c r="CY30" s="163">
        <f t="shared" si="11"/>
        <v>103</v>
      </c>
      <c r="CZ30" s="163">
        <f t="shared" si="11"/>
        <v>104</v>
      </c>
      <c r="DA30" s="163">
        <f t="shared" si="11"/>
        <v>105</v>
      </c>
      <c r="DB30" s="163">
        <f t="shared" si="11"/>
        <v>106</v>
      </c>
      <c r="DC30" s="163">
        <f t="shared" si="11"/>
        <v>107</v>
      </c>
      <c r="DD30" s="163">
        <f t="shared" si="11"/>
        <v>108</v>
      </c>
      <c r="DE30" s="163">
        <f t="shared" si="11"/>
        <v>109</v>
      </c>
      <c r="DF30" s="163">
        <f t="shared" si="11"/>
        <v>110</v>
      </c>
      <c r="DG30" s="163">
        <f t="shared" si="11"/>
        <v>111</v>
      </c>
      <c r="DH30" s="163">
        <f t="shared" si="11"/>
        <v>112</v>
      </c>
      <c r="DI30" s="163">
        <f t="shared" si="11"/>
        <v>113</v>
      </c>
      <c r="DJ30" s="163">
        <f t="shared" si="11"/>
        <v>114</v>
      </c>
      <c r="DK30" s="163">
        <f t="shared" si="11"/>
        <v>115</v>
      </c>
      <c r="DL30" s="163">
        <f t="shared" si="11"/>
        <v>116</v>
      </c>
      <c r="DM30" s="163">
        <f t="shared" si="11"/>
        <v>117</v>
      </c>
      <c r="DN30" s="163">
        <f t="shared" si="11"/>
        <v>118</v>
      </c>
      <c r="DO30" s="163">
        <f t="shared" si="11"/>
        <v>119</v>
      </c>
      <c r="DP30" s="163">
        <f t="shared" si="11"/>
        <v>120</v>
      </c>
      <c r="DQ30" s="163">
        <f t="shared" si="11"/>
        <v>121</v>
      </c>
      <c r="DR30" s="163">
        <f t="shared" si="11"/>
        <v>122</v>
      </c>
      <c r="DS30" s="163">
        <f t="shared" si="11"/>
        <v>123</v>
      </c>
      <c r="DT30" s="163">
        <f t="shared" si="11"/>
        <v>124</v>
      </c>
      <c r="DU30" s="163">
        <f t="shared" si="11"/>
        <v>125</v>
      </c>
      <c r="DV30" s="163">
        <f t="shared" si="11"/>
        <v>126</v>
      </c>
      <c r="DW30" s="163">
        <f t="shared" si="11"/>
        <v>127</v>
      </c>
      <c r="DX30" s="163">
        <f t="shared" si="11"/>
        <v>128</v>
      </c>
      <c r="DY30" s="163">
        <f t="shared" si="11"/>
        <v>129</v>
      </c>
      <c r="DZ30" s="163">
        <f t="shared" si="11"/>
        <v>130</v>
      </c>
      <c r="EA30" s="163">
        <f t="shared" si="11"/>
        <v>131</v>
      </c>
      <c r="EB30" s="163">
        <f t="shared" ref="EB30:GM30" si="12">EA$30+1</f>
        <v>132</v>
      </c>
      <c r="EC30" s="163">
        <f t="shared" si="12"/>
        <v>133</v>
      </c>
      <c r="ED30" s="163">
        <f t="shared" si="12"/>
        <v>134</v>
      </c>
      <c r="EE30" s="163">
        <f t="shared" si="12"/>
        <v>135</v>
      </c>
      <c r="EF30" s="163">
        <f t="shared" si="12"/>
        <v>136</v>
      </c>
      <c r="EG30" s="163">
        <f t="shared" si="12"/>
        <v>137</v>
      </c>
      <c r="EH30" s="163">
        <f t="shared" si="12"/>
        <v>138</v>
      </c>
      <c r="EI30" s="163">
        <f t="shared" si="12"/>
        <v>139</v>
      </c>
      <c r="EJ30" s="163">
        <f t="shared" si="12"/>
        <v>140</v>
      </c>
      <c r="EK30" s="163">
        <f t="shared" si="12"/>
        <v>141</v>
      </c>
      <c r="EL30" s="163">
        <f t="shared" si="12"/>
        <v>142</v>
      </c>
      <c r="EM30" s="163">
        <f t="shared" si="12"/>
        <v>143</v>
      </c>
      <c r="EN30" s="163">
        <f t="shared" si="12"/>
        <v>144</v>
      </c>
      <c r="EO30" s="163">
        <f t="shared" si="12"/>
        <v>145</v>
      </c>
      <c r="EP30" s="163">
        <f t="shared" si="12"/>
        <v>146</v>
      </c>
      <c r="EQ30" s="163">
        <f t="shared" si="12"/>
        <v>147</v>
      </c>
      <c r="ER30" s="163">
        <f t="shared" si="12"/>
        <v>148</v>
      </c>
      <c r="ES30" s="163">
        <f t="shared" si="12"/>
        <v>149</v>
      </c>
      <c r="ET30" s="163">
        <f t="shared" si="12"/>
        <v>150</v>
      </c>
      <c r="EU30" s="163">
        <f t="shared" si="12"/>
        <v>151</v>
      </c>
      <c r="EV30" s="163">
        <f t="shared" si="12"/>
        <v>152</v>
      </c>
      <c r="EW30" s="163">
        <f t="shared" si="12"/>
        <v>153</v>
      </c>
      <c r="EX30" s="163">
        <f t="shared" si="12"/>
        <v>154</v>
      </c>
      <c r="EY30" s="163">
        <f t="shared" si="12"/>
        <v>155</v>
      </c>
      <c r="EZ30" s="163">
        <f t="shared" si="12"/>
        <v>156</v>
      </c>
      <c r="FA30" s="163">
        <f t="shared" si="12"/>
        <v>157</v>
      </c>
      <c r="FB30" s="163">
        <f t="shared" si="12"/>
        <v>158</v>
      </c>
      <c r="FC30" s="163">
        <f t="shared" si="12"/>
        <v>159</v>
      </c>
      <c r="FD30" s="163">
        <f t="shared" si="12"/>
        <v>160</v>
      </c>
      <c r="FE30" s="163">
        <f t="shared" si="12"/>
        <v>161</v>
      </c>
      <c r="FF30" s="163">
        <f t="shared" si="12"/>
        <v>162</v>
      </c>
      <c r="FG30" s="163">
        <f t="shared" si="12"/>
        <v>163</v>
      </c>
      <c r="FH30" s="163">
        <f t="shared" si="12"/>
        <v>164</v>
      </c>
      <c r="FI30" s="163">
        <f t="shared" si="12"/>
        <v>165</v>
      </c>
      <c r="FJ30" s="163">
        <f t="shared" si="12"/>
        <v>166</v>
      </c>
      <c r="FK30" s="163">
        <f t="shared" si="12"/>
        <v>167</v>
      </c>
      <c r="FL30" s="163">
        <f t="shared" si="12"/>
        <v>168</v>
      </c>
      <c r="FM30" s="163">
        <f t="shared" si="12"/>
        <v>169</v>
      </c>
      <c r="FN30" s="163">
        <f t="shared" si="12"/>
        <v>170</v>
      </c>
      <c r="FO30" s="163">
        <f t="shared" si="12"/>
        <v>171</v>
      </c>
      <c r="FP30" s="163">
        <f t="shared" si="12"/>
        <v>172</v>
      </c>
      <c r="FQ30" s="163">
        <f t="shared" si="12"/>
        <v>173</v>
      </c>
      <c r="FR30" s="163">
        <f t="shared" si="12"/>
        <v>174</v>
      </c>
      <c r="FS30" s="163">
        <f t="shared" si="12"/>
        <v>175</v>
      </c>
      <c r="FT30" s="163">
        <f t="shared" si="12"/>
        <v>176</v>
      </c>
      <c r="FU30" s="163">
        <f t="shared" si="12"/>
        <v>177</v>
      </c>
      <c r="FV30" s="163">
        <f t="shared" si="12"/>
        <v>178</v>
      </c>
      <c r="FW30" s="163">
        <f t="shared" si="12"/>
        <v>179</v>
      </c>
      <c r="FX30" s="163">
        <f t="shared" si="12"/>
        <v>180</v>
      </c>
      <c r="FY30" s="163">
        <f t="shared" si="12"/>
        <v>181</v>
      </c>
      <c r="FZ30" s="163">
        <f t="shared" si="12"/>
        <v>182</v>
      </c>
      <c r="GA30" s="163">
        <f t="shared" si="12"/>
        <v>183</v>
      </c>
      <c r="GB30" s="163">
        <f t="shared" si="12"/>
        <v>184</v>
      </c>
      <c r="GC30" s="163">
        <f t="shared" si="12"/>
        <v>185</v>
      </c>
      <c r="GD30" s="163">
        <f t="shared" si="12"/>
        <v>186</v>
      </c>
      <c r="GE30" s="163">
        <f t="shared" si="12"/>
        <v>187</v>
      </c>
      <c r="GF30" s="163">
        <f t="shared" si="12"/>
        <v>188</v>
      </c>
      <c r="GG30" s="163">
        <f t="shared" si="12"/>
        <v>189</v>
      </c>
      <c r="GH30" s="163">
        <f t="shared" si="12"/>
        <v>190</v>
      </c>
      <c r="GI30" s="163">
        <f t="shared" si="12"/>
        <v>191</v>
      </c>
      <c r="GJ30" s="163">
        <f t="shared" si="12"/>
        <v>192</v>
      </c>
      <c r="GK30" s="163">
        <f t="shared" si="12"/>
        <v>193</v>
      </c>
      <c r="GL30" s="163">
        <f t="shared" si="12"/>
        <v>194</v>
      </c>
      <c r="GM30" s="163">
        <f t="shared" si="12"/>
        <v>195</v>
      </c>
      <c r="GN30" s="163">
        <f t="shared" ref="GN30:IY30" si="13">GM$30+1</f>
        <v>196</v>
      </c>
      <c r="GO30" s="163">
        <f t="shared" si="13"/>
        <v>197</v>
      </c>
      <c r="GP30" s="163">
        <f t="shared" si="13"/>
        <v>198</v>
      </c>
      <c r="GQ30" s="163">
        <f t="shared" si="13"/>
        <v>199</v>
      </c>
      <c r="GR30" s="163">
        <f t="shared" si="13"/>
        <v>200</v>
      </c>
      <c r="GS30" s="163">
        <f t="shared" si="13"/>
        <v>201</v>
      </c>
      <c r="GT30" s="163">
        <f t="shared" si="13"/>
        <v>202</v>
      </c>
      <c r="GU30" s="163">
        <f t="shared" si="13"/>
        <v>203</v>
      </c>
      <c r="GV30" s="163">
        <f t="shared" si="13"/>
        <v>204</v>
      </c>
      <c r="GW30" s="163">
        <f t="shared" si="13"/>
        <v>205</v>
      </c>
      <c r="GX30" s="163">
        <f t="shared" si="13"/>
        <v>206</v>
      </c>
      <c r="GY30" s="163">
        <f t="shared" si="13"/>
        <v>207</v>
      </c>
      <c r="GZ30" s="163">
        <f t="shared" si="13"/>
        <v>208</v>
      </c>
      <c r="HA30" s="163">
        <f t="shared" si="13"/>
        <v>209</v>
      </c>
      <c r="HB30" s="163">
        <f t="shared" si="13"/>
        <v>210</v>
      </c>
      <c r="HC30" s="163">
        <f t="shared" si="13"/>
        <v>211</v>
      </c>
      <c r="HD30" s="163">
        <f t="shared" si="13"/>
        <v>212</v>
      </c>
      <c r="HE30" s="163">
        <f t="shared" si="13"/>
        <v>213</v>
      </c>
      <c r="HF30" s="163">
        <f t="shared" si="13"/>
        <v>214</v>
      </c>
      <c r="HG30" s="163">
        <f t="shared" si="13"/>
        <v>215</v>
      </c>
      <c r="HH30" s="163">
        <f t="shared" si="13"/>
        <v>216</v>
      </c>
      <c r="HI30" s="163">
        <f t="shared" si="13"/>
        <v>217</v>
      </c>
      <c r="HJ30" s="163">
        <f t="shared" si="13"/>
        <v>218</v>
      </c>
      <c r="HK30" s="163">
        <f t="shared" si="13"/>
        <v>219</v>
      </c>
      <c r="HL30" s="163">
        <f t="shared" si="13"/>
        <v>220</v>
      </c>
      <c r="HM30" s="163">
        <f t="shared" si="13"/>
        <v>221</v>
      </c>
      <c r="HN30" s="163">
        <f t="shared" si="13"/>
        <v>222</v>
      </c>
      <c r="HO30" s="163">
        <f t="shared" si="13"/>
        <v>223</v>
      </c>
      <c r="HP30" s="163">
        <f t="shared" si="13"/>
        <v>224</v>
      </c>
      <c r="HQ30" s="163">
        <f t="shared" si="13"/>
        <v>225</v>
      </c>
      <c r="HR30" s="163">
        <f t="shared" si="13"/>
        <v>226</v>
      </c>
      <c r="HS30" s="163">
        <f t="shared" si="13"/>
        <v>227</v>
      </c>
      <c r="HT30" s="163">
        <f t="shared" si="13"/>
        <v>228</v>
      </c>
      <c r="HU30" s="163">
        <f t="shared" si="13"/>
        <v>229</v>
      </c>
      <c r="HV30" s="163">
        <f t="shared" si="13"/>
        <v>230</v>
      </c>
      <c r="HW30" s="163">
        <f t="shared" si="13"/>
        <v>231</v>
      </c>
      <c r="HX30" s="163">
        <f t="shared" si="13"/>
        <v>232</v>
      </c>
      <c r="HY30" s="163">
        <f t="shared" si="13"/>
        <v>233</v>
      </c>
      <c r="HZ30" s="163">
        <f t="shared" si="13"/>
        <v>234</v>
      </c>
      <c r="IA30" s="163">
        <f t="shared" si="13"/>
        <v>235</v>
      </c>
      <c r="IB30" s="163">
        <f t="shared" si="13"/>
        <v>236</v>
      </c>
      <c r="IC30" s="163">
        <f t="shared" si="13"/>
        <v>237</v>
      </c>
      <c r="ID30" s="163">
        <f t="shared" si="13"/>
        <v>238</v>
      </c>
      <c r="IE30" s="163">
        <f t="shared" si="13"/>
        <v>239</v>
      </c>
      <c r="IF30" s="163">
        <f t="shared" si="13"/>
        <v>240</v>
      </c>
      <c r="IG30" s="163">
        <f t="shared" si="13"/>
        <v>241</v>
      </c>
      <c r="IH30" s="163">
        <f t="shared" si="13"/>
        <v>242</v>
      </c>
      <c r="II30" s="163">
        <f t="shared" si="13"/>
        <v>243</v>
      </c>
      <c r="IJ30" s="163">
        <f t="shared" si="13"/>
        <v>244</v>
      </c>
      <c r="IK30" s="163">
        <f t="shared" si="13"/>
        <v>245</v>
      </c>
      <c r="IL30" s="163">
        <f t="shared" si="13"/>
        <v>246</v>
      </c>
      <c r="IM30" s="163">
        <f t="shared" si="13"/>
        <v>247</v>
      </c>
      <c r="IN30" s="163">
        <f t="shared" si="13"/>
        <v>248</v>
      </c>
      <c r="IO30" s="163">
        <f t="shared" si="13"/>
        <v>249</v>
      </c>
      <c r="IP30" s="163">
        <f t="shared" si="13"/>
        <v>250</v>
      </c>
      <c r="IQ30" s="163">
        <f t="shared" si="13"/>
        <v>251</v>
      </c>
      <c r="IR30" s="163">
        <f t="shared" si="13"/>
        <v>252</v>
      </c>
      <c r="IS30" s="163">
        <f t="shared" si="13"/>
        <v>253</v>
      </c>
      <c r="IT30" s="163">
        <f t="shared" si="13"/>
        <v>254</v>
      </c>
      <c r="IU30" s="163">
        <f t="shared" si="13"/>
        <v>255</v>
      </c>
      <c r="IV30" s="163">
        <f t="shared" si="13"/>
        <v>256</v>
      </c>
      <c r="IW30" s="163">
        <f t="shared" si="13"/>
        <v>257</v>
      </c>
      <c r="IX30" s="163">
        <f t="shared" si="13"/>
        <v>258</v>
      </c>
      <c r="IY30" s="163">
        <f t="shared" si="13"/>
        <v>259</v>
      </c>
      <c r="IZ30" s="163">
        <f t="shared" ref="IZ30:KC30" si="14">IY$30+1</f>
        <v>260</v>
      </c>
      <c r="JA30" s="163">
        <f t="shared" si="14"/>
        <v>261</v>
      </c>
      <c r="JB30" s="163">
        <f t="shared" si="14"/>
        <v>262</v>
      </c>
      <c r="JC30" s="163">
        <f t="shared" si="14"/>
        <v>263</v>
      </c>
      <c r="JD30" s="163">
        <f t="shared" si="14"/>
        <v>264</v>
      </c>
      <c r="JE30" s="163">
        <f t="shared" si="14"/>
        <v>265</v>
      </c>
      <c r="JF30" s="163">
        <f t="shared" si="14"/>
        <v>266</v>
      </c>
      <c r="JG30" s="163">
        <f t="shared" si="14"/>
        <v>267</v>
      </c>
      <c r="JH30" s="163">
        <f t="shared" si="14"/>
        <v>268</v>
      </c>
      <c r="JI30" s="163">
        <f t="shared" si="14"/>
        <v>269</v>
      </c>
      <c r="JJ30" s="163">
        <f t="shared" si="14"/>
        <v>270</v>
      </c>
      <c r="JK30" s="163">
        <f t="shared" si="14"/>
        <v>271</v>
      </c>
      <c r="JL30" s="163">
        <f t="shared" si="14"/>
        <v>272</v>
      </c>
      <c r="JM30" s="163">
        <f t="shared" si="14"/>
        <v>273</v>
      </c>
      <c r="JN30" s="163">
        <f t="shared" si="14"/>
        <v>274</v>
      </c>
      <c r="JO30" s="163">
        <f t="shared" si="14"/>
        <v>275</v>
      </c>
      <c r="JP30" s="163">
        <f t="shared" si="14"/>
        <v>276</v>
      </c>
      <c r="JQ30" s="163">
        <f t="shared" si="14"/>
        <v>277</v>
      </c>
      <c r="JR30" s="163">
        <f t="shared" si="14"/>
        <v>278</v>
      </c>
      <c r="JS30" s="163">
        <f t="shared" si="14"/>
        <v>279</v>
      </c>
      <c r="JT30" s="163">
        <f t="shared" si="14"/>
        <v>280</v>
      </c>
      <c r="JU30" s="163">
        <f t="shared" si="14"/>
        <v>281</v>
      </c>
      <c r="JV30" s="163">
        <f t="shared" si="14"/>
        <v>282</v>
      </c>
      <c r="JW30" s="163">
        <f t="shared" si="14"/>
        <v>283</v>
      </c>
      <c r="JX30" s="163">
        <f t="shared" si="14"/>
        <v>284</v>
      </c>
      <c r="JY30" s="163">
        <f t="shared" si="14"/>
        <v>285</v>
      </c>
      <c r="JZ30" s="163">
        <f t="shared" si="14"/>
        <v>286</v>
      </c>
      <c r="KA30" s="163">
        <f t="shared" si="14"/>
        <v>287</v>
      </c>
      <c r="KB30" s="163">
        <f t="shared" si="14"/>
        <v>288</v>
      </c>
      <c r="KC30" s="163">
        <f t="shared" si="14"/>
        <v>289</v>
      </c>
    </row>
  </sheetData>
  <sheetProtection password="DD3D" sheet="1" objects="1" scenarios="1"/>
  <pageMargins left="0.7" right="0.7" top="0.75" bottom="0.75" header="0.3" footer="0.3"/>
  <pageSetup orientation="portrait" r:id="rId1"/>
  <ignoredErrors>
    <ignoredError sqref="KC27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499984740745262"/>
  </sheetPr>
  <dimension ref="A2:Y128"/>
  <sheetViews>
    <sheetView workbookViewId="0"/>
  </sheetViews>
  <sheetFormatPr defaultRowHeight="15"/>
  <cols>
    <col min="1" max="1" width="4.140625" style="90" customWidth="1"/>
    <col min="2" max="2" width="35.7109375" style="91" customWidth="1"/>
    <col min="3" max="3" width="6.7109375" style="92" customWidth="1"/>
    <col min="4" max="4" width="2.7109375" style="90" customWidth="1"/>
    <col min="5" max="5" width="6.7109375" style="108" customWidth="1"/>
    <col min="6" max="6" width="6.7109375" style="90" customWidth="1"/>
    <col min="7" max="9" width="2.7109375" style="90" customWidth="1"/>
    <col min="10" max="10" width="9.140625" style="90"/>
    <col min="11" max="11" width="10.5703125" style="90" customWidth="1"/>
    <col min="12" max="12" width="15.7109375" style="90" customWidth="1"/>
    <col min="13" max="13" width="2.7109375" style="90" customWidth="1"/>
    <col min="14" max="14" width="6.140625" style="90" customWidth="1"/>
    <col min="15" max="15" width="15.7109375" style="90" customWidth="1"/>
    <col min="16" max="16" width="2.7109375" style="90" customWidth="1"/>
    <col min="17" max="17" width="8.7109375" style="90" customWidth="1"/>
    <col min="18" max="18" width="6.7109375" style="90" customWidth="1"/>
    <col min="19" max="24" width="9.140625" style="90"/>
    <col min="25" max="25" width="35.7109375" style="90" customWidth="1"/>
    <col min="26" max="16384" width="9.140625" style="90"/>
  </cols>
  <sheetData>
    <row r="2" spans="1:25" ht="15.75" thickBot="1"/>
    <row r="3" spans="1:25" ht="15.75" thickBot="1">
      <c r="B3" s="75" t="s">
        <v>0</v>
      </c>
      <c r="C3" s="61" t="s">
        <v>125</v>
      </c>
      <c r="I3" s="93"/>
      <c r="J3" s="94"/>
      <c r="K3" s="94"/>
      <c r="L3" s="94"/>
      <c r="M3" s="94"/>
      <c r="N3" s="94"/>
      <c r="O3" s="94"/>
      <c r="P3" s="94"/>
      <c r="Q3" s="94"/>
      <c r="R3" s="94"/>
      <c r="S3" s="94"/>
      <c r="T3" s="95"/>
      <c r="Y3" s="120" t="s">
        <v>128</v>
      </c>
    </row>
    <row r="4" spans="1:25" ht="15.75" thickBot="1">
      <c r="A4" s="90">
        <v>1</v>
      </c>
      <c r="B4" s="8"/>
      <c r="C4" s="68"/>
      <c r="E4" s="109"/>
      <c r="F4" s="310" t="s">
        <v>473</v>
      </c>
      <c r="I4" s="96"/>
      <c r="J4" s="97"/>
      <c r="K4" s="98" t="s">
        <v>8</v>
      </c>
      <c r="L4" s="97"/>
      <c r="M4" s="97"/>
      <c r="N4" s="97"/>
      <c r="O4" s="97"/>
      <c r="P4" s="97"/>
      <c r="Q4" s="97"/>
      <c r="R4" s="97"/>
      <c r="S4" s="97"/>
      <c r="T4" s="99"/>
      <c r="Y4" s="121"/>
    </row>
    <row r="5" spans="1:25" ht="15.75" thickBot="1">
      <c r="A5" s="90">
        <v>2</v>
      </c>
      <c r="B5" s="9"/>
      <c r="C5" s="68"/>
      <c r="E5" s="109"/>
      <c r="F5" s="310" t="s">
        <v>473</v>
      </c>
      <c r="I5" s="96"/>
      <c r="J5" s="97"/>
      <c r="K5" s="100" t="s">
        <v>115</v>
      </c>
      <c r="L5" s="46" t="s">
        <v>62</v>
      </c>
      <c r="M5" s="101"/>
      <c r="N5" s="100" t="s">
        <v>116</v>
      </c>
      <c r="O5" s="46" t="s">
        <v>62</v>
      </c>
      <c r="P5" s="97"/>
      <c r="Q5" s="100" t="s">
        <v>118</v>
      </c>
      <c r="R5" s="69"/>
      <c r="S5" s="97"/>
      <c r="T5" s="99"/>
      <c r="Y5" s="121"/>
    </row>
    <row r="6" spans="1:25">
      <c r="A6" s="90">
        <v>3</v>
      </c>
      <c r="B6" s="9"/>
      <c r="C6" s="68"/>
      <c r="E6" s="109"/>
      <c r="F6" s="310" t="s">
        <v>473</v>
      </c>
      <c r="I6" s="102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4"/>
      <c r="Y6" s="121"/>
    </row>
    <row r="7" spans="1:25">
      <c r="A7" s="90">
        <v>4</v>
      </c>
      <c r="B7" s="9"/>
      <c r="C7" s="68"/>
      <c r="E7" s="109"/>
      <c r="F7" s="310" t="s">
        <v>473</v>
      </c>
      <c r="J7" s="97"/>
      <c r="K7" s="105"/>
      <c r="L7" s="105"/>
      <c r="M7" s="105"/>
      <c r="N7" s="105"/>
      <c r="O7" s="105"/>
      <c r="P7" s="105"/>
      <c r="Q7" s="105"/>
      <c r="R7" s="105"/>
      <c r="S7" s="105"/>
      <c r="T7" s="94"/>
      <c r="Y7" s="121"/>
    </row>
    <row r="8" spans="1:25">
      <c r="A8" s="90">
        <v>5</v>
      </c>
      <c r="B8" s="9"/>
      <c r="C8" s="68"/>
      <c r="E8" s="109"/>
      <c r="F8" s="310" t="s">
        <v>473</v>
      </c>
      <c r="I8" s="93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5"/>
      <c r="Y8" s="121"/>
    </row>
    <row r="9" spans="1:25" ht="15.75" thickBot="1">
      <c r="A9" s="90">
        <v>6</v>
      </c>
      <c r="B9" s="9"/>
      <c r="C9" s="68"/>
      <c r="E9" s="109"/>
      <c r="F9" s="310" t="s">
        <v>473</v>
      </c>
      <c r="I9" s="96"/>
      <c r="J9" s="97"/>
      <c r="K9" s="98" t="s">
        <v>9</v>
      </c>
      <c r="L9" s="97"/>
      <c r="M9" s="97"/>
      <c r="N9" s="97"/>
      <c r="O9" s="97"/>
      <c r="P9" s="97"/>
      <c r="Q9" s="97"/>
      <c r="R9" s="97"/>
      <c r="S9" s="97"/>
      <c r="T9" s="97"/>
      <c r="U9" s="97"/>
      <c r="V9" s="99"/>
      <c r="Y9" s="121"/>
    </row>
    <row r="10" spans="1:25" ht="15.75" thickBot="1">
      <c r="A10" s="90">
        <v>7</v>
      </c>
      <c r="B10" s="9"/>
      <c r="C10" s="68"/>
      <c r="E10" s="109"/>
      <c r="F10" s="310" t="s">
        <v>473</v>
      </c>
      <c r="I10" s="96"/>
      <c r="J10" s="106"/>
      <c r="K10" s="100" t="s">
        <v>115</v>
      </c>
      <c r="L10" s="46" t="s">
        <v>62</v>
      </c>
      <c r="M10" s="101"/>
      <c r="N10" s="100" t="s">
        <v>116</v>
      </c>
      <c r="O10" s="46" t="s">
        <v>62</v>
      </c>
      <c r="P10" s="97"/>
      <c r="Q10" s="100" t="s">
        <v>117</v>
      </c>
      <c r="R10" s="69"/>
      <c r="S10" s="100" t="s">
        <v>126</v>
      </c>
      <c r="T10" s="69"/>
      <c r="U10" s="97"/>
      <c r="V10" s="99"/>
      <c r="Y10" s="121"/>
    </row>
    <row r="11" spans="1:25">
      <c r="A11" s="90">
        <v>8</v>
      </c>
      <c r="B11" s="9"/>
      <c r="C11" s="68"/>
      <c r="E11" s="109"/>
      <c r="F11" s="310" t="s">
        <v>473</v>
      </c>
      <c r="I11" s="102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4"/>
      <c r="Y11" s="121"/>
    </row>
    <row r="12" spans="1:25">
      <c r="A12" s="90">
        <v>9</v>
      </c>
      <c r="B12" s="9"/>
      <c r="C12" s="68"/>
      <c r="E12" s="109"/>
      <c r="F12" s="310" t="s">
        <v>473</v>
      </c>
      <c r="Y12" s="121"/>
    </row>
    <row r="13" spans="1:25">
      <c r="A13" s="90">
        <v>10</v>
      </c>
      <c r="B13" s="9"/>
      <c r="C13" s="68"/>
      <c r="E13" s="109"/>
      <c r="F13" s="310" t="s">
        <v>473</v>
      </c>
      <c r="J13" s="90" t="s">
        <v>119</v>
      </c>
      <c r="Y13" s="121"/>
    </row>
    <row r="14" spans="1:25">
      <c r="A14" s="90">
        <v>11</v>
      </c>
      <c r="B14" s="9"/>
      <c r="C14" s="68"/>
      <c r="E14" s="109"/>
      <c r="F14" s="310" t="s">
        <v>473</v>
      </c>
      <c r="Y14" s="121"/>
    </row>
    <row r="15" spans="1:25">
      <c r="A15" s="90">
        <v>12</v>
      </c>
      <c r="B15" s="9"/>
      <c r="C15" s="68"/>
      <c r="E15" s="109"/>
      <c r="F15" s="310" t="s">
        <v>473</v>
      </c>
      <c r="J15" s="90" t="s">
        <v>124</v>
      </c>
      <c r="Y15" s="121"/>
    </row>
    <row r="16" spans="1:25">
      <c r="A16" s="90">
        <v>13</v>
      </c>
      <c r="B16" s="9"/>
      <c r="C16" s="68"/>
      <c r="E16" s="109"/>
      <c r="F16" s="310" t="s">
        <v>473</v>
      </c>
      <c r="Y16" s="121"/>
    </row>
    <row r="17" spans="1:25">
      <c r="A17" s="90">
        <v>14</v>
      </c>
      <c r="B17" s="9"/>
      <c r="C17" s="68"/>
      <c r="E17" s="109"/>
      <c r="F17" s="310" t="s">
        <v>473</v>
      </c>
      <c r="J17" s="107" t="s">
        <v>10</v>
      </c>
      <c r="Y17" s="121"/>
    </row>
    <row r="18" spans="1:25">
      <c r="A18" s="90">
        <v>15</v>
      </c>
      <c r="B18" s="9"/>
      <c r="C18" s="68"/>
      <c r="E18" s="109"/>
      <c r="F18" s="310" t="s">
        <v>473</v>
      </c>
      <c r="J18" s="90" t="s">
        <v>11</v>
      </c>
      <c r="Y18" s="121"/>
    </row>
    <row r="19" spans="1:25">
      <c r="A19" s="90">
        <v>16</v>
      </c>
      <c r="B19" s="9"/>
      <c r="C19" s="68"/>
      <c r="E19" s="109"/>
      <c r="F19" s="310" t="s">
        <v>473</v>
      </c>
      <c r="J19" s="90" t="s">
        <v>12</v>
      </c>
      <c r="Y19" s="121"/>
    </row>
    <row r="20" spans="1:25">
      <c r="A20" s="90">
        <v>17</v>
      </c>
      <c r="B20" s="9"/>
      <c r="C20" s="68"/>
      <c r="E20" s="109"/>
      <c r="F20" s="310" t="s">
        <v>473</v>
      </c>
      <c r="Y20" s="121"/>
    </row>
    <row r="21" spans="1:25">
      <c r="A21" s="90">
        <v>18</v>
      </c>
      <c r="B21" s="9"/>
      <c r="C21" s="68"/>
      <c r="E21" s="109"/>
      <c r="F21" s="310" t="s">
        <v>473</v>
      </c>
      <c r="J21" s="90" t="s">
        <v>476</v>
      </c>
      <c r="Y21" s="121"/>
    </row>
    <row r="22" spans="1:25">
      <c r="A22" s="90">
        <v>19</v>
      </c>
      <c r="B22" s="9"/>
      <c r="C22" s="68"/>
      <c r="E22" s="109"/>
      <c r="F22" s="310" t="s">
        <v>473</v>
      </c>
      <c r="J22" s="90" t="s">
        <v>120</v>
      </c>
      <c r="Y22" s="121"/>
    </row>
    <row r="23" spans="1:25">
      <c r="A23" s="90">
        <v>20</v>
      </c>
      <c r="B23" s="9"/>
      <c r="C23" s="68"/>
      <c r="E23" s="109"/>
      <c r="F23" s="310" t="s">
        <v>473</v>
      </c>
      <c r="Y23" s="121"/>
    </row>
    <row r="24" spans="1:25">
      <c r="A24" s="90">
        <v>21</v>
      </c>
      <c r="B24" s="9"/>
      <c r="C24" s="68"/>
      <c r="E24" s="109"/>
      <c r="F24" s="310" t="s">
        <v>473</v>
      </c>
      <c r="J24" s="90" t="s">
        <v>65</v>
      </c>
      <c r="Y24" s="121"/>
    </row>
    <row r="25" spans="1:25">
      <c r="A25" s="90">
        <v>22</v>
      </c>
      <c r="B25" s="9"/>
      <c r="C25" s="68"/>
      <c r="E25" s="109"/>
      <c r="F25" s="310" t="s">
        <v>473</v>
      </c>
      <c r="K25" s="90" t="s">
        <v>66</v>
      </c>
      <c r="Y25" s="121"/>
    </row>
    <row r="26" spans="1:25">
      <c r="A26" s="90">
        <v>23</v>
      </c>
      <c r="B26" s="9"/>
      <c r="C26" s="68"/>
      <c r="E26" s="109"/>
      <c r="F26" s="310" t="s">
        <v>473</v>
      </c>
      <c r="K26" s="90" t="s">
        <v>67</v>
      </c>
      <c r="Y26" s="121"/>
    </row>
    <row r="27" spans="1:25">
      <c r="A27" s="90">
        <v>24</v>
      </c>
      <c r="B27" s="9"/>
      <c r="C27" s="68"/>
      <c r="E27" s="109"/>
      <c r="F27" s="310" t="s">
        <v>473</v>
      </c>
      <c r="K27" s="90" t="s">
        <v>68</v>
      </c>
      <c r="Y27" s="121"/>
    </row>
    <row r="28" spans="1:25">
      <c r="A28" s="90">
        <v>25</v>
      </c>
      <c r="B28" s="9"/>
      <c r="C28" s="68"/>
      <c r="E28" s="109"/>
      <c r="F28" s="310" t="s">
        <v>473</v>
      </c>
      <c r="L28" s="90" t="s">
        <v>69</v>
      </c>
      <c r="Y28" s="121"/>
    </row>
    <row r="29" spans="1:25">
      <c r="A29" s="90">
        <v>26</v>
      </c>
      <c r="B29" s="9"/>
      <c r="C29" s="68"/>
      <c r="E29" s="109"/>
      <c r="F29" s="310" t="s">
        <v>473</v>
      </c>
      <c r="K29" s="90" t="s">
        <v>121</v>
      </c>
      <c r="Y29" s="121"/>
    </row>
    <row r="30" spans="1:25">
      <c r="A30" s="90">
        <v>27</v>
      </c>
      <c r="B30" s="9"/>
      <c r="C30" s="68"/>
      <c r="E30" s="109"/>
      <c r="F30" s="310" t="s">
        <v>473</v>
      </c>
      <c r="L30" s="90" t="s">
        <v>70</v>
      </c>
      <c r="Y30" s="121"/>
    </row>
    <row r="31" spans="1:25">
      <c r="A31" s="90">
        <v>28</v>
      </c>
      <c r="B31" s="9"/>
      <c r="C31" s="68"/>
      <c r="E31" s="109"/>
      <c r="F31" s="310" t="s">
        <v>473</v>
      </c>
      <c r="K31" s="90" t="s">
        <v>122</v>
      </c>
      <c r="Y31" s="121"/>
    </row>
    <row r="32" spans="1:25">
      <c r="A32" s="90">
        <v>29</v>
      </c>
      <c r="B32" s="9"/>
      <c r="C32" s="68"/>
      <c r="E32" s="109"/>
      <c r="F32" s="310" t="s">
        <v>473</v>
      </c>
      <c r="Y32" s="121"/>
    </row>
    <row r="33" spans="1:25">
      <c r="A33" s="90">
        <v>30</v>
      </c>
      <c r="B33" s="9"/>
      <c r="C33" s="68"/>
      <c r="E33" s="109"/>
      <c r="F33" s="310" t="s">
        <v>473</v>
      </c>
      <c r="J33" s="107" t="s">
        <v>123</v>
      </c>
      <c r="Y33" s="121"/>
    </row>
    <row r="34" spans="1:25">
      <c r="A34" s="90">
        <v>31</v>
      </c>
      <c r="B34" s="9"/>
      <c r="C34" s="68"/>
      <c r="E34" s="109"/>
      <c r="F34" s="310" t="s">
        <v>473</v>
      </c>
      <c r="Y34" s="121"/>
    </row>
    <row r="35" spans="1:25">
      <c r="A35" s="90">
        <v>32</v>
      </c>
      <c r="B35" s="9"/>
      <c r="C35" s="68"/>
      <c r="E35" s="109"/>
      <c r="F35" s="310" t="s">
        <v>473</v>
      </c>
      <c r="Y35" s="121"/>
    </row>
    <row r="36" spans="1:25">
      <c r="A36" s="90">
        <v>33</v>
      </c>
      <c r="B36" s="9"/>
      <c r="C36" s="68"/>
      <c r="E36" s="109"/>
      <c r="F36" s="310" t="s">
        <v>473</v>
      </c>
      <c r="Y36" s="121"/>
    </row>
    <row r="37" spans="1:25">
      <c r="A37" s="90">
        <v>34</v>
      </c>
      <c r="B37" s="9"/>
      <c r="C37" s="68"/>
      <c r="E37" s="109"/>
      <c r="F37" s="310" t="s">
        <v>473</v>
      </c>
      <c r="Y37" s="121"/>
    </row>
    <row r="38" spans="1:25">
      <c r="A38" s="90">
        <v>35</v>
      </c>
      <c r="B38" s="9"/>
      <c r="C38" s="68"/>
      <c r="E38" s="109"/>
      <c r="F38" s="310" t="s">
        <v>473</v>
      </c>
      <c r="Y38" s="121"/>
    </row>
    <row r="39" spans="1:25">
      <c r="A39" s="90">
        <v>36</v>
      </c>
      <c r="B39" s="9"/>
      <c r="C39" s="68"/>
      <c r="E39" s="109"/>
      <c r="F39" s="310" t="s">
        <v>473</v>
      </c>
      <c r="Y39" s="121"/>
    </row>
    <row r="40" spans="1:25">
      <c r="A40" s="90">
        <v>37</v>
      </c>
      <c r="B40" s="9"/>
      <c r="C40" s="68"/>
      <c r="E40" s="109"/>
      <c r="F40" s="310"/>
      <c r="Y40" s="121"/>
    </row>
    <row r="41" spans="1:25">
      <c r="A41" s="90">
        <v>38</v>
      </c>
      <c r="B41" s="9"/>
      <c r="C41" s="68"/>
      <c r="E41" s="109"/>
      <c r="F41" s="310"/>
      <c r="Y41" s="121"/>
    </row>
    <row r="42" spans="1:25">
      <c r="A42" s="90">
        <v>39</v>
      </c>
      <c r="B42" s="9"/>
      <c r="C42" s="68"/>
      <c r="E42" s="109"/>
      <c r="F42" s="310"/>
      <c r="Y42" s="121"/>
    </row>
    <row r="43" spans="1:25">
      <c r="A43" s="90">
        <v>40</v>
      </c>
      <c r="B43" s="9"/>
      <c r="C43" s="68"/>
      <c r="E43" s="109"/>
      <c r="F43" s="310"/>
      <c r="Y43" s="121"/>
    </row>
    <row r="44" spans="1:25">
      <c r="A44" s="90">
        <v>41</v>
      </c>
      <c r="B44" s="9"/>
      <c r="C44" s="68"/>
      <c r="E44" s="109"/>
      <c r="F44" s="310"/>
      <c r="Y44" s="121"/>
    </row>
    <row r="45" spans="1:25">
      <c r="A45" s="90">
        <v>42</v>
      </c>
      <c r="B45" s="9"/>
      <c r="C45" s="68"/>
      <c r="E45" s="109"/>
      <c r="F45" s="310"/>
      <c r="Y45" s="121"/>
    </row>
    <row r="46" spans="1:25">
      <c r="A46" s="90">
        <v>43</v>
      </c>
      <c r="B46" s="9"/>
      <c r="C46" s="68"/>
      <c r="E46" s="109"/>
      <c r="F46" s="310"/>
      <c r="Y46" s="121"/>
    </row>
    <row r="47" spans="1:25">
      <c r="A47" s="90">
        <v>44</v>
      </c>
      <c r="B47" s="9"/>
      <c r="C47" s="68"/>
      <c r="E47" s="109"/>
      <c r="F47" s="310"/>
      <c r="Y47" s="121"/>
    </row>
    <row r="48" spans="1:25">
      <c r="A48" s="90">
        <v>45</v>
      </c>
      <c r="B48" s="9"/>
      <c r="C48" s="68"/>
      <c r="E48" s="109"/>
      <c r="F48" s="310"/>
      <c r="Y48" s="121"/>
    </row>
    <row r="49" spans="1:25">
      <c r="A49" s="90">
        <v>46</v>
      </c>
      <c r="B49" s="9"/>
      <c r="C49" s="68"/>
      <c r="E49" s="109"/>
      <c r="F49" s="310"/>
      <c r="Y49" s="121"/>
    </row>
    <row r="50" spans="1:25">
      <c r="A50" s="90">
        <v>47</v>
      </c>
      <c r="B50" s="9"/>
      <c r="C50" s="68"/>
      <c r="E50" s="109"/>
      <c r="F50" s="310"/>
      <c r="Y50" s="121"/>
    </row>
    <row r="51" spans="1:25">
      <c r="A51" s="90">
        <v>48</v>
      </c>
      <c r="B51" s="9"/>
      <c r="C51" s="68"/>
      <c r="E51" s="109"/>
      <c r="F51" s="310"/>
      <c r="Y51" s="121"/>
    </row>
    <row r="52" spans="1:25">
      <c r="A52" s="90">
        <v>49</v>
      </c>
      <c r="B52" s="9"/>
      <c r="C52" s="68"/>
      <c r="E52" s="109"/>
      <c r="F52" s="310"/>
      <c r="Y52" s="121"/>
    </row>
    <row r="53" spans="1:25">
      <c r="A53" s="90">
        <v>50</v>
      </c>
      <c r="B53" s="9"/>
      <c r="C53" s="68"/>
      <c r="E53" s="109"/>
      <c r="F53" s="310"/>
      <c r="Y53" s="121"/>
    </row>
    <row r="54" spans="1:25">
      <c r="A54" s="90">
        <v>51</v>
      </c>
      <c r="B54" s="9"/>
      <c r="C54" s="68"/>
      <c r="E54" s="109"/>
      <c r="F54" s="310"/>
      <c r="Y54" s="121"/>
    </row>
    <row r="55" spans="1:25">
      <c r="A55" s="90">
        <v>52</v>
      </c>
      <c r="B55" s="9"/>
      <c r="C55" s="68"/>
      <c r="E55" s="109"/>
      <c r="F55" s="310"/>
      <c r="Y55" s="121"/>
    </row>
    <row r="56" spans="1:25">
      <c r="A56" s="90">
        <v>53</v>
      </c>
      <c r="B56" s="9"/>
      <c r="C56" s="68"/>
      <c r="E56" s="109"/>
      <c r="F56" s="310"/>
      <c r="Y56" s="121"/>
    </row>
    <row r="57" spans="1:25">
      <c r="A57" s="90">
        <v>54</v>
      </c>
      <c r="B57" s="9"/>
      <c r="C57" s="68"/>
      <c r="E57" s="109"/>
      <c r="F57" s="310"/>
      <c r="Y57" s="121"/>
    </row>
    <row r="58" spans="1:25">
      <c r="A58" s="90">
        <v>55</v>
      </c>
      <c r="B58" s="9"/>
      <c r="C58" s="68"/>
      <c r="E58" s="109"/>
      <c r="F58" s="310"/>
      <c r="Y58" s="121"/>
    </row>
    <row r="59" spans="1:25">
      <c r="A59" s="90">
        <v>56</v>
      </c>
      <c r="B59" s="9"/>
      <c r="C59" s="68"/>
      <c r="E59" s="109"/>
      <c r="F59" s="310"/>
      <c r="Y59" s="121"/>
    </row>
    <row r="60" spans="1:25">
      <c r="A60" s="90">
        <v>57</v>
      </c>
      <c r="B60" s="9"/>
      <c r="C60" s="68"/>
      <c r="E60" s="109"/>
      <c r="F60" s="310"/>
      <c r="Y60" s="121"/>
    </row>
    <row r="61" spans="1:25">
      <c r="A61" s="90">
        <v>58</v>
      </c>
      <c r="B61" s="9"/>
      <c r="C61" s="68"/>
      <c r="E61" s="109"/>
      <c r="F61" s="310"/>
      <c r="Y61" s="121"/>
    </row>
    <row r="62" spans="1:25">
      <c r="A62" s="90">
        <v>59</v>
      </c>
      <c r="B62" s="9"/>
      <c r="C62" s="68"/>
      <c r="E62" s="109"/>
      <c r="F62" s="310"/>
      <c r="Y62" s="121"/>
    </row>
    <row r="63" spans="1:25">
      <c r="A63" s="90">
        <v>60</v>
      </c>
      <c r="B63" s="9"/>
      <c r="C63" s="68"/>
      <c r="E63" s="109"/>
      <c r="F63" s="310"/>
      <c r="Y63" s="121"/>
    </row>
    <row r="64" spans="1:25">
      <c r="A64" s="90">
        <v>61</v>
      </c>
      <c r="B64" s="9"/>
      <c r="C64" s="68"/>
      <c r="E64" s="109"/>
      <c r="F64" s="310"/>
      <c r="Y64" s="121"/>
    </row>
    <row r="65" spans="1:25">
      <c r="A65" s="90">
        <v>62</v>
      </c>
      <c r="B65" s="9"/>
      <c r="C65" s="68"/>
      <c r="E65" s="109"/>
      <c r="F65" s="310"/>
      <c r="Y65" s="121"/>
    </row>
    <row r="66" spans="1:25">
      <c r="A66" s="90">
        <v>63</v>
      </c>
      <c r="B66" s="9"/>
      <c r="C66" s="68"/>
      <c r="E66" s="109"/>
      <c r="F66" s="310"/>
      <c r="Y66" s="121"/>
    </row>
    <row r="67" spans="1:25">
      <c r="A67" s="90">
        <v>64</v>
      </c>
      <c r="B67" s="9"/>
      <c r="C67" s="68"/>
      <c r="E67" s="109"/>
      <c r="F67" s="310"/>
      <c r="Y67" s="121"/>
    </row>
    <row r="68" spans="1:25">
      <c r="A68" s="90">
        <v>65</v>
      </c>
      <c r="B68" s="9"/>
      <c r="C68" s="68"/>
      <c r="E68" s="109"/>
      <c r="F68" s="310"/>
      <c r="Y68" s="121"/>
    </row>
    <row r="69" spans="1:25">
      <c r="A69" s="90">
        <v>66</v>
      </c>
      <c r="B69" s="9"/>
      <c r="C69" s="68"/>
      <c r="E69" s="109"/>
      <c r="F69" s="310"/>
      <c r="Y69" s="121"/>
    </row>
    <row r="70" spans="1:25">
      <c r="A70" s="90">
        <v>67</v>
      </c>
      <c r="B70" s="9"/>
      <c r="C70" s="68"/>
      <c r="E70" s="109"/>
      <c r="F70" s="310"/>
      <c r="Y70" s="121"/>
    </row>
    <row r="71" spans="1:25">
      <c r="A71" s="90">
        <v>68</v>
      </c>
      <c r="B71" s="9"/>
      <c r="C71" s="68"/>
      <c r="E71" s="109"/>
      <c r="F71" s="310"/>
      <c r="Y71" s="121"/>
    </row>
    <row r="72" spans="1:25">
      <c r="A72" s="90">
        <v>69</v>
      </c>
      <c r="B72" s="9"/>
      <c r="C72" s="68"/>
      <c r="E72" s="109"/>
      <c r="F72" s="310"/>
      <c r="Y72" s="121"/>
    </row>
    <row r="73" spans="1:25">
      <c r="A73" s="90">
        <v>70</v>
      </c>
      <c r="B73" s="9"/>
      <c r="C73" s="68"/>
      <c r="E73" s="109"/>
      <c r="F73" s="310"/>
      <c r="Y73" s="121"/>
    </row>
    <row r="74" spans="1:25">
      <c r="A74" s="90">
        <v>71</v>
      </c>
      <c r="B74" s="9"/>
      <c r="C74" s="68"/>
      <c r="E74" s="109"/>
      <c r="F74" s="310"/>
      <c r="Y74" s="121"/>
    </row>
    <row r="75" spans="1:25">
      <c r="A75" s="90">
        <v>72</v>
      </c>
      <c r="B75" s="9"/>
      <c r="C75" s="68"/>
      <c r="E75" s="109"/>
      <c r="F75" s="310"/>
      <c r="Y75" s="121"/>
    </row>
    <row r="76" spans="1:25">
      <c r="A76" s="90">
        <v>73</v>
      </c>
      <c r="B76" s="9"/>
      <c r="C76" s="68"/>
      <c r="E76" s="109"/>
      <c r="F76" s="310"/>
      <c r="Y76" s="121"/>
    </row>
    <row r="77" spans="1:25">
      <c r="A77" s="90">
        <v>74</v>
      </c>
      <c r="B77" s="9"/>
      <c r="C77" s="68"/>
      <c r="E77" s="109"/>
      <c r="F77" s="310"/>
      <c r="Y77" s="121"/>
    </row>
    <row r="78" spans="1:25">
      <c r="A78" s="90">
        <v>75</v>
      </c>
      <c r="B78" s="9"/>
      <c r="C78" s="68"/>
      <c r="E78" s="109"/>
      <c r="F78" s="310"/>
      <c r="Y78" s="121"/>
    </row>
    <row r="79" spans="1:25">
      <c r="A79" s="90">
        <v>76</v>
      </c>
      <c r="B79" s="9"/>
      <c r="C79" s="68"/>
      <c r="E79" s="109"/>
      <c r="F79" s="310"/>
      <c r="Y79" s="121"/>
    </row>
    <row r="80" spans="1:25">
      <c r="A80" s="90">
        <v>77</v>
      </c>
      <c r="B80" s="9"/>
      <c r="C80" s="68"/>
      <c r="E80" s="109"/>
      <c r="F80" s="310"/>
      <c r="Y80" s="121"/>
    </row>
    <row r="81" spans="1:25">
      <c r="A81" s="90">
        <v>78</v>
      </c>
      <c r="B81" s="9"/>
      <c r="C81" s="68"/>
      <c r="E81" s="109"/>
      <c r="F81" s="310"/>
      <c r="Y81" s="121"/>
    </row>
    <row r="82" spans="1:25">
      <c r="A82" s="90">
        <v>79</v>
      </c>
      <c r="B82" s="9"/>
      <c r="C82" s="68"/>
      <c r="E82" s="109"/>
      <c r="F82" s="310"/>
      <c r="Y82" s="121"/>
    </row>
    <row r="83" spans="1:25">
      <c r="A83" s="90">
        <v>80</v>
      </c>
      <c r="B83" s="9"/>
      <c r="C83" s="68"/>
      <c r="E83" s="109"/>
      <c r="F83" s="310"/>
      <c r="Y83" s="121"/>
    </row>
    <row r="84" spans="1:25">
      <c r="A84" s="90">
        <v>81</v>
      </c>
      <c r="B84" s="9"/>
      <c r="C84" s="68"/>
      <c r="E84" s="109"/>
      <c r="F84" s="310"/>
      <c r="Y84" s="121"/>
    </row>
    <row r="85" spans="1:25">
      <c r="A85" s="90">
        <v>82</v>
      </c>
      <c r="B85" s="9"/>
      <c r="C85" s="68"/>
      <c r="E85" s="109"/>
      <c r="F85" s="310"/>
      <c r="Y85" s="121"/>
    </row>
    <row r="86" spans="1:25">
      <c r="A86" s="90">
        <v>83</v>
      </c>
      <c r="B86" s="9"/>
      <c r="C86" s="68"/>
      <c r="E86" s="109"/>
      <c r="F86" s="310"/>
      <c r="Y86" s="121"/>
    </row>
    <row r="87" spans="1:25">
      <c r="A87" s="90">
        <v>84</v>
      </c>
      <c r="B87" s="9"/>
      <c r="C87" s="68"/>
      <c r="E87" s="109"/>
      <c r="F87" s="310"/>
      <c r="Y87" s="121"/>
    </row>
    <row r="88" spans="1:25">
      <c r="A88" s="90">
        <v>85</v>
      </c>
      <c r="B88" s="9"/>
      <c r="C88" s="68"/>
      <c r="E88" s="109"/>
      <c r="F88" s="310"/>
      <c r="Y88" s="121"/>
    </row>
    <row r="89" spans="1:25">
      <c r="A89" s="90">
        <v>86</v>
      </c>
      <c r="B89" s="9"/>
      <c r="C89" s="68"/>
      <c r="E89" s="109"/>
      <c r="F89" s="310"/>
      <c r="Y89" s="121"/>
    </row>
    <row r="90" spans="1:25">
      <c r="A90" s="90">
        <v>87</v>
      </c>
      <c r="B90" s="9"/>
      <c r="C90" s="68"/>
      <c r="E90" s="109"/>
      <c r="F90" s="310"/>
      <c r="Y90" s="121"/>
    </row>
    <row r="91" spans="1:25">
      <c r="A91" s="90">
        <v>88</v>
      </c>
      <c r="B91" s="9"/>
      <c r="C91" s="68"/>
      <c r="E91" s="109"/>
      <c r="F91" s="310"/>
      <c r="Y91" s="121"/>
    </row>
    <row r="92" spans="1:25">
      <c r="A92" s="90">
        <v>89</v>
      </c>
      <c r="B92" s="9"/>
      <c r="C92" s="68"/>
      <c r="E92" s="109"/>
      <c r="F92" s="310"/>
      <c r="Y92" s="121"/>
    </row>
    <row r="93" spans="1:25">
      <c r="A93" s="90">
        <v>90</v>
      </c>
      <c r="B93" s="9"/>
      <c r="C93" s="68"/>
      <c r="E93" s="109"/>
      <c r="F93" s="310"/>
      <c r="Y93" s="121"/>
    </row>
    <row r="94" spans="1:25">
      <c r="A94" s="90">
        <v>91</v>
      </c>
      <c r="B94" s="9"/>
      <c r="C94" s="68"/>
      <c r="E94" s="109"/>
      <c r="F94" s="310"/>
      <c r="Y94" s="121"/>
    </row>
    <row r="95" spans="1:25">
      <c r="A95" s="90">
        <v>92</v>
      </c>
      <c r="B95" s="9"/>
      <c r="C95" s="68"/>
      <c r="E95" s="109"/>
      <c r="F95" s="310"/>
      <c r="Y95" s="121"/>
    </row>
    <row r="96" spans="1:25">
      <c r="A96" s="90">
        <v>93</v>
      </c>
      <c r="B96" s="9"/>
      <c r="C96" s="68"/>
      <c r="E96" s="109"/>
      <c r="F96" s="310"/>
      <c r="Y96" s="121"/>
    </row>
    <row r="97" spans="1:25">
      <c r="A97" s="90">
        <v>94</v>
      </c>
      <c r="B97" s="9"/>
      <c r="C97" s="68"/>
      <c r="E97" s="109"/>
      <c r="F97" s="310"/>
      <c r="Y97" s="121"/>
    </row>
    <row r="98" spans="1:25">
      <c r="A98" s="90">
        <v>95</v>
      </c>
      <c r="B98" s="9"/>
      <c r="C98" s="68"/>
      <c r="E98" s="109"/>
      <c r="F98" s="310"/>
      <c r="Y98" s="121"/>
    </row>
    <row r="99" spans="1:25">
      <c r="A99" s="90">
        <v>96</v>
      </c>
      <c r="B99" s="9"/>
      <c r="C99" s="68"/>
      <c r="E99" s="109"/>
      <c r="F99" s="310"/>
      <c r="Y99" s="121"/>
    </row>
    <row r="100" spans="1:25">
      <c r="A100" s="90">
        <v>97</v>
      </c>
      <c r="B100" s="9"/>
      <c r="C100" s="68"/>
      <c r="E100" s="109"/>
      <c r="F100" s="310"/>
      <c r="Y100" s="121"/>
    </row>
    <row r="101" spans="1:25">
      <c r="A101" s="90">
        <v>98</v>
      </c>
      <c r="B101" s="9"/>
      <c r="C101" s="68"/>
      <c r="E101" s="109"/>
      <c r="F101" s="310"/>
      <c r="Y101" s="121"/>
    </row>
    <row r="102" spans="1:25">
      <c r="A102" s="90">
        <v>99</v>
      </c>
      <c r="B102" s="9"/>
      <c r="C102" s="68"/>
      <c r="E102" s="109"/>
      <c r="F102" s="310"/>
      <c r="Y102" s="121"/>
    </row>
    <row r="103" spans="1:25">
      <c r="A103" s="90">
        <v>100</v>
      </c>
      <c r="B103" s="9"/>
      <c r="C103" s="68"/>
      <c r="E103" s="109"/>
      <c r="F103" s="310"/>
      <c r="Y103" s="121"/>
    </row>
    <row r="104" spans="1:25">
      <c r="A104" s="90">
        <v>101</v>
      </c>
      <c r="B104" s="9"/>
      <c r="C104" s="68"/>
      <c r="E104" s="109"/>
      <c r="F104" s="310"/>
      <c r="Y104" s="121"/>
    </row>
    <row r="105" spans="1:25">
      <c r="A105" s="90">
        <v>102</v>
      </c>
      <c r="B105" s="9"/>
      <c r="C105" s="68"/>
      <c r="E105" s="109"/>
      <c r="F105" s="310"/>
      <c r="Y105" s="121"/>
    </row>
    <row r="106" spans="1:25">
      <c r="A106" s="90">
        <v>103</v>
      </c>
      <c r="B106" s="9"/>
      <c r="C106" s="68"/>
      <c r="E106" s="109"/>
      <c r="F106" s="310"/>
      <c r="Y106" s="121"/>
    </row>
    <row r="107" spans="1:25">
      <c r="A107" s="90">
        <v>104</v>
      </c>
      <c r="B107" s="9"/>
      <c r="C107" s="68"/>
      <c r="E107" s="109"/>
      <c r="F107" s="310"/>
      <c r="Y107" s="121"/>
    </row>
    <row r="108" spans="1:25">
      <c r="A108" s="90">
        <v>105</v>
      </c>
      <c r="B108" s="9"/>
      <c r="C108" s="68"/>
      <c r="E108" s="109"/>
      <c r="F108" s="310"/>
      <c r="Y108" s="121"/>
    </row>
    <row r="109" spans="1:25">
      <c r="A109" s="90">
        <v>106</v>
      </c>
      <c r="B109" s="9"/>
      <c r="C109" s="68"/>
      <c r="E109" s="109"/>
      <c r="F109" s="310"/>
      <c r="Y109" s="121"/>
    </row>
    <row r="110" spans="1:25">
      <c r="A110" s="90">
        <v>107</v>
      </c>
      <c r="B110" s="9"/>
      <c r="C110" s="68"/>
      <c r="E110" s="109"/>
      <c r="F110" s="310"/>
      <c r="Y110" s="121"/>
    </row>
    <row r="111" spans="1:25">
      <c r="A111" s="90">
        <v>108</v>
      </c>
      <c r="B111" s="9"/>
      <c r="C111" s="68"/>
      <c r="E111" s="109"/>
      <c r="F111" s="310"/>
      <c r="Y111" s="121"/>
    </row>
    <row r="112" spans="1:25">
      <c r="A112" s="90">
        <v>109</v>
      </c>
      <c r="B112" s="9"/>
      <c r="C112" s="68"/>
      <c r="E112" s="109"/>
      <c r="F112" s="310"/>
      <c r="Y112" s="121"/>
    </row>
    <row r="113" spans="1:25">
      <c r="A113" s="90">
        <v>110</v>
      </c>
      <c r="B113" s="9"/>
      <c r="C113" s="68"/>
      <c r="E113" s="109"/>
      <c r="F113" s="310"/>
      <c r="Y113" s="121"/>
    </row>
    <row r="114" spans="1:25">
      <c r="A114" s="90">
        <v>111</v>
      </c>
      <c r="B114" s="9"/>
      <c r="C114" s="68"/>
      <c r="E114" s="109"/>
      <c r="F114" s="310"/>
      <c r="Y114" s="121"/>
    </row>
    <row r="115" spans="1:25">
      <c r="A115" s="90">
        <v>112</v>
      </c>
      <c r="B115" s="9"/>
      <c r="C115" s="68"/>
      <c r="E115" s="109"/>
      <c r="F115" s="310"/>
      <c r="Y115" s="121"/>
    </row>
    <row r="116" spans="1:25">
      <c r="A116" s="90">
        <v>113</v>
      </c>
      <c r="B116" s="9"/>
      <c r="C116" s="68"/>
      <c r="E116" s="109"/>
      <c r="F116" s="310"/>
      <c r="Y116" s="121"/>
    </row>
    <row r="117" spans="1:25">
      <c r="A117" s="90">
        <v>114</v>
      </c>
      <c r="B117" s="9"/>
      <c r="C117" s="68"/>
      <c r="E117" s="109"/>
      <c r="F117" s="310"/>
      <c r="Y117" s="121"/>
    </row>
    <row r="118" spans="1:25">
      <c r="A118" s="90">
        <v>115</v>
      </c>
      <c r="B118" s="9"/>
      <c r="C118" s="68"/>
      <c r="E118" s="109"/>
      <c r="F118" s="310"/>
      <c r="Y118" s="121"/>
    </row>
    <row r="119" spans="1:25">
      <c r="A119" s="90">
        <v>116</v>
      </c>
      <c r="B119" s="9"/>
      <c r="C119" s="68"/>
      <c r="E119" s="109"/>
      <c r="F119" s="310"/>
      <c r="Y119" s="121"/>
    </row>
    <row r="120" spans="1:25">
      <c r="A120" s="90">
        <v>117</v>
      </c>
      <c r="B120" s="9"/>
      <c r="C120" s="68"/>
      <c r="E120" s="109"/>
      <c r="F120" s="310"/>
      <c r="Y120" s="121"/>
    </row>
    <row r="121" spans="1:25">
      <c r="A121" s="90">
        <v>118</v>
      </c>
      <c r="B121" s="9"/>
      <c r="C121" s="68"/>
      <c r="E121" s="109"/>
      <c r="F121" s="310"/>
      <c r="Y121" s="121"/>
    </row>
    <row r="122" spans="1:25">
      <c r="A122" s="90">
        <v>119</v>
      </c>
      <c r="B122" s="9"/>
      <c r="C122" s="68"/>
      <c r="E122" s="109"/>
      <c r="F122" s="310"/>
      <c r="Y122" s="121"/>
    </row>
    <row r="123" spans="1:25">
      <c r="A123" s="90">
        <v>120</v>
      </c>
      <c r="B123" s="9"/>
      <c r="C123" s="68"/>
      <c r="E123" s="109"/>
      <c r="F123" s="310"/>
      <c r="Y123" s="121"/>
    </row>
    <row r="124" spans="1:25">
      <c r="A124" s="90">
        <v>121</v>
      </c>
      <c r="B124" s="9"/>
      <c r="C124" s="68"/>
      <c r="E124" s="109"/>
      <c r="F124" s="310"/>
      <c r="Y124" s="121"/>
    </row>
    <row r="125" spans="1:25">
      <c r="A125" s="90">
        <v>122</v>
      </c>
      <c r="B125" s="9"/>
      <c r="C125" s="68"/>
      <c r="E125" s="109"/>
      <c r="F125" s="310"/>
      <c r="Y125" s="121"/>
    </row>
    <row r="126" spans="1:25">
      <c r="A126" s="90">
        <v>123</v>
      </c>
      <c r="B126" s="9"/>
      <c r="C126" s="68"/>
      <c r="E126" s="109"/>
      <c r="F126" s="310"/>
      <c r="Y126" s="121"/>
    </row>
    <row r="127" spans="1:25">
      <c r="A127" s="90">
        <v>124</v>
      </c>
      <c r="B127" s="9"/>
      <c r="C127" s="68"/>
      <c r="E127" s="109"/>
      <c r="F127" s="310"/>
      <c r="Y127" s="121"/>
    </row>
    <row r="128" spans="1:25" ht="15.75" thickBot="1">
      <c r="A128" s="90">
        <v>125</v>
      </c>
      <c r="B128" s="10"/>
      <c r="C128" s="68"/>
      <c r="E128" s="109"/>
      <c r="F128" s="310"/>
      <c r="Y128" s="121"/>
    </row>
  </sheetData>
  <sheetProtection password="DD3D" sheet="1" objects="1" scenarios="1"/>
  <dataValidations count="1">
    <dataValidation type="list" allowBlank="1" showInputMessage="1" showErrorMessage="1" sqref="T10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EmployeeHx">
          <controlPr defaultSize="0" autoLine="0" r:id="rId5">
            <anchor moveWithCells="1">
              <from>
                <xdr:col>20</xdr:col>
                <xdr:colOff>333375</xdr:colOff>
                <xdr:row>3</xdr:row>
                <xdr:rowOff>133350</xdr:rowOff>
              </from>
              <to>
                <xdr:col>21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028" r:id="rId4" name="btnEmployeeHx"/>
      </mc:Fallback>
    </mc:AlternateContent>
    <mc:AlternateContent xmlns:mc="http://schemas.openxmlformats.org/markup-compatibility/2006">
      <mc:Choice Requires="x14">
        <control shapeId="1027" r:id="rId6" name="btnRefreshEmployees">
          <controlPr defaultSize="0" autoLine="0" r:id="rId7">
            <anchor moveWithCells="1">
              <from>
                <xdr:col>2</xdr:col>
                <xdr:colOff>428625</xdr:colOff>
                <xdr:row>0</xdr:row>
                <xdr:rowOff>152400</xdr:rowOff>
              </from>
              <to>
                <xdr:col>5</xdr:col>
                <xdr:colOff>200025</xdr:colOff>
                <xdr:row>2</xdr:row>
                <xdr:rowOff>28575</xdr:rowOff>
              </to>
            </anchor>
          </controlPr>
        </control>
      </mc:Choice>
      <mc:Fallback>
        <control shapeId="1027" r:id="rId6" name="btnRefreshEmployees"/>
      </mc:Fallback>
    </mc:AlternateContent>
    <mc:AlternateContent xmlns:mc="http://schemas.openxmlformats.org/markup-compatibility/2006">
      <mc:Choice Requires="x14">
        <control shapeId="1025" r:id="rId8" name="btnEmployeeAdd">
          <controlPr defaultSize="0" autoLine="0" r:id="rId9">
            <anchor moveWithCells="1">
              <from>
                <xdr:col>18</xdr:col>
                <xdr:colOff>285750</xdr:colOff>
                <xdr:row>3</xdr:row>
                <xdr:rowOff>133350</xdr:rowOff>
              </from>
              <to>
                <xdr:col>19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25" r:id="rId8" name="btnEmployeeAdd"/>
      </mc:Fallback>
    </mc:AlternateContent>
    <mc:AlternateContent xmlns:mc="http://schemas.openxmlformats.org/markup-compatibility/2006">
      <mc:Choice Requires="x14">
        <control shapeId="1026" r:id="rId10" name="btnEmployeeEdit">
          <controlPr defaultSize="0" autoLine="0" r:id="rId11">
            <anchor moveWithCells="1">
              <from>
                <xdr:col>20</xdr:col>
                <xdr:colOff>333375</xdr:colOff>
                <xdr:row>8</xdr:row>
                <xdr:rowOff>152400</xdr:rowOff>
              </from>
              <to>
                <xdr:col>21</xdr:col>
                <xdr:colOff>409575</xdr:colOff>
                <xdr:row>10</xdr:row>
                <xdr:rowOff>19050</xdr:rowOff>
              </to>
            </anchor>
          </controlPr>
        </control>
      </mc:Choice>
      <mc:Fallback>
        <control shapeId="1026" r:id="rId10" name="btnEmployeeEd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B2:T40"/>
  <sheetViews>
    <sheetView workbookViewId="0"/>
  </sheetViews>
  <sheetFormatPr defaultRowHeight="15"/>
  <cols>
    <col min="1" max="1" width="4.5703125" style="1" customWidth="1"/>
    <col min="2" max="2" width="4" style="3" customWidth="1"/>
    <col min="3" max="3" width="20.7109375" style="1" customWidth="1"/>
    <col min="4" max="4" width="6.140625" style="6" customWidth="1"/>
    <col min="5" max="5" width="1.7109375" style="6" customWidth="1"/>
    <col min="6" max="6" width="9.140625" style="1"/>
    <col min="7" max="8" width="10.7109375" style="1" customWidth="1"/>
    <col min="9" max="9" width="1.7109375" style="1" customWidth="1"/>
    <col min="10" max="12" width="10.7109375" style="1" customWidth="1"/>
    <col min="13" max="13" width="1.7109375" style="1" customWidth="1"/>
    <col min="14" max="16" width="10.7109375" style="1" customWidth="1"/>
    <col min="17" max="17" width="1.7109375" style="1" customWidth="1"/>
    <col min="18" max="20" width="10.7109375" style="1" customWidth="1"/>
    <col min="21" max="16384" width="9.140625" style="1"/>
  </cols>
  <sheetData>
    <row r="2" spans="2:20">
      <c r="C2" s="11" t="s">
        <v>99</v>
      </c>
    </row>
    <row r="4" spans="2:20" ht="15.75" thickBot="1">
      <c r="G4" s="20" t="s">
        <v>71</v>
      </c>
    </row>
    <row r="5" spans="2:20" ht="15.75" thickBot="1">
      <c r="F5" s="329" t="s">
        <v>1</v>
      </c>
      <c r="G5" s="330"/>
      <c r="H5" s="331"/>
      <c r="I5" s="61"/>
      <c r="J5" s="329" t="s">
        <v>2</v>
      </c>
      <c r="K5" s="330"/>
      <c r="L5" s="331"/>
      <c r="M5" s="64"/>
      <c r="N5" s="329" t="s">
        <v>3</v>
      </c>
      <c r="O5" s="330"/>
      <c r="P5" s="331"/>
      <c r="Q5" s="64"/>
      <c r="R5" s="329" t="s">
        <v>4</v>
      </c>
      <c r="S5" s="330"/>
      <c r="T5" s="331"/>
    </row>
    <row r="6" spans="2:20">
      <c r="B6" s="2"/>
      <c r="C6" s="4" t="s">
        <v>5</v>
      </c>
      <c r="D6" s="49" t="s">
        <v>77</v>
      </c>
      <c r="E6" s="58"/>
      <c r="F6" s="63" t="s">
        <v>149</v>
      </c>
      <c r="G6" s="57" t="s">
        <v>14</v>
      </c>
      <c r="H6" s="65" t="s">
        <v>16</v>
      </c>
      <c r="I6" s="61"/>
      <c r="J6" s="63" t="s">
        <v>149</v>
      </c>
      <c r="K6" s="57" t="s">
        <v>14</v>
      </c>
      <c r="L6" s="65" t="s">
        <v>16</v>
      </c>
      <c r="M6" s="64"/>
      <c r="N6" s="63" t="s">
        <v>149</v>
      </c>
      <c r="O6" s="57" t="s">
        <v>14</v>
      </c>
      <c r="P6" s="65" t="s">
        <v>16</v>
      </c>
      <c r="Q6" s="64"/>
      <c r="R6" s="63" t="s">
        <v>149</v>
      </c>
      <c r="S6" s="57" t="s">
        <v>14</v>
      </c>
      <c r="T6" s="65" t="s">
        <v>16</v>
      </c>
    </row>
    <row r="7" spans="2:20" ht="15.75" thickBot="1">
      <c r="B7" s="2"/>
      <c r="C7" s="5" t="s">
        <v>6</v>
      </c>
      <c r="D7" s="50" t="s">
        <v>78</v>
      </c>
      <c r="E7" s="58"/>
      <c r="F7" s="16" t="s">
        <v>100</v>
      </c>
      <c r="G7" s="66" t="s">
        <v>447</v>
      </c>
      <c r="H7" s="17" t="s">
        <v>15</v>
      </c>
      <c r="I7" s="61"/>
      <c r="J7" s="16" t="s">
        <v>100</v>
      </c>
      <c r="K7" s="66" t="s">
        <v>447</v>
      </c>
      <c r="L7" s="17" t="s">
        <v>15</v>
      </c>
      <c r="M7" s="64"/>
      <c r="N7" s="16" t="s">
        <v>100</v>
      </c>
      <c r="O7" s="66" t="s">
        <v>447</v>
      </c>
      <c r="P7" s="17" t="s">
        <v>15</v>
      </c>
      <c r="Q7" s="64"/>
      <c r="R7" s="16" t="s">
        <v>100</v>
      </c>
      <c r="S7" s="66" t="s">
        <v>447</v>
      </c>
      <c r="T7" s="17" t="s">
        <v>15</v>
      </c>
    </row>
    <row r="8" spans="2:20">
      <c r="B8" s="2"/>
      <c r="C8" s="54" t="s">
        <v>83</v>
      </c>
      <c r="D8" s="140">
        <v>12</v>
      </c>
      <c r="E8" s="59"/>
      <c r="F8" s="126">
        <v>15</v>
      </c>
      <c r="G8" s="302" t="s">
        <v>144</v>
      </c>
      <c r="H8" s="303" t="s">
        <v>93</v>
      </c>
      <c r="I8" s="62"/>
      <c r="J8" s="130">
        <v>30</v>
      </c>
      <c r="K8" s="162" t="s">
        <v>75</v>
      </c>
      <c r="L8" s="304" t="s">
        <v>76</v>
      </c>
      <c r="M8" s="62"/>
      <c r="N8" s="130">
        <v>15</v>
      </c>
      <c r="O8" s="162" t="s">
        <v>91</v>
      </c>
      <c r="P8" s="304" t="s">
        <v>147</v>
      </c>
      <c r="Q8" s="62"/>
      <c r="R8" s="134">
        <v>15</v>
      </c>
      <c r="S8" s="162" t="s">
        <v>470</v>
      </c>
      <c r="T8" s="304" t="s">
        <v>474</v>
      </c>
    </row>
    <row r="9" spans="2:20">
      <c r="B9" s="2"/>
      <c r="C9" s="55" t="s">
        <v>98</v>
      </c>
      <c r="D9" s="141">
        <v>11</v>
      </c>
      <c r="E9" s="59"/>
      <c r="F9" s="127">
        <v>15</v>
      </c>
      <c r="G9" s="166" t="s">
        <v>144</v>
      </c>
      <c r="H9" s="158" t="s">
        <v>93</v>
      </c>
      <c r="I9" s="62"/>
      <c r="J9" s="127">
        <v>20</v>
      </c>
      <c r="K9" s="157" t="s">
        <v>141</v>
      </c>
      <c r="L9" s="158" t="s">
        <v>142</v>
      </c>
      <c r="M9" s="62"/>
      <c r="N9" s="127">
        <v>15</v>
      </c>
      <c r="O9" s="157" t="s">
        <v>145</v>
      </c>
      <c r="P9" s="158" t="s">
        <v>146</v>
      </c>
      <c r="Q9" s="62"/>
      <c r="R9" s="127">
        <v>15</v>
      </c>
      <c r="S9" s="157" t="s">
        <v>147</v>
      </c>
      <c r="T9" s="158" t="s">
        <v>85</v>
      </c>
    </row>
    <row r="10" spans="2:20">
      <c r="B10" s="2"/>
      <c r="C10" s="54" t="s">
        <v>84</v>
      </c>
      <c r="D10" s="141">
        <v>10</v>
      </c>
      <c r="E10" s="59"/>
      <c r="F10" s="128">
        <v>15</v>
      </c>
      <c r="G10" s="166" t="s">
        <v>144</v>
      </c>
      <c r="H10" s="158" t="s">
        <v>93</v>
      </c>
      <c r="I10" s="62"/>
      <c r="J10" s="127">
        <v>30</v>
      </c>
      <c r="K10" s="157" t="s">
        <v>75</v>
      </c>
      <c r="L10" s="158" t="s">
        <v>76</v>
      </c>
      <c r="M10" s="62"/>
      <c r="N10" s="127">
        <v>15</v>
      </c>
      <c r="O10" s="157" t="s">
        <v>91</v>
      </c>
      <c r="P10" s="158" t="s">
        <v>148</v>
      </c>
      <c r="Q10" s="62"/>
      <c r="R10" s="127">
        <v>0</v>
      </c>
      <c r="S10" s="305"/>
      <c r="T10" s="306"/>
    </row>
    <row r="11" spans="2:20">
      <c r="B11" s="2"/>
      <c r="C11" s="55" t="s">
        <v>97</v>
      </c>
      <c r="D11" s="141">
        <v>9</v>
      </c>
      <c r="E11" s="59"/>
      <c r="F11" s="127">
        <v>15</v>
      </c>
      <c r="G11" s="166" t="s">
        <v>140</v>
      </c>
      <c r="H11" s="158" t="s">
        <v>139</v>
      </c>
      <c r="I11" s="62"/>
      <c r="J11" s="127">
        <v>30</v>
      </c>
      <c r="K11" s="157" t="s">
        <v>75</v>
      </c>
      <c r="L11" s="158" t="s">
        <v>76</v>
      </c>
      <c r="M11" s="62"/>
      <c r="N11" s="127">
        <v>15</v>
      </c>
      <c r="O11" s="157" t="s">
        <v>91</v>
      </c>
      <c r="P11" s="158" t="s">
        <v>86</v>
      </c>
      <c r="Q11" s="62"/>
      <c r="R11" s="127">
        <v>0</v>
      </c>
      <c r="S11" s="305"/>
      <c r="T11" s="306"/>
    </row>
    <row r="12" spans="2:20">
      <c r="B12" s="2"/>
      <c r="C12" s="55" t="s">
        <v>79</v>
      </c>
      <c r="D12" s="141">
        <v>8</v>
      </c>
      <c r="E12" s="59"/>
      <c r="F12" s="127">
        <v>10</v>
      </c>
      <c r="G12" s="166" t="s">
        <v>140</v>
      </c>
      <c r="H12" s="158" t="s">
        <v>87</v>
      </c>
      <c r="I12" s="62"/>
      <c r="J12" s="127">
        <v>20</v>
      </c>
      <c r="K12" s="157" t="s">
        <v>143</v>
      </c>
      <c r="L12" s="158" t="s">
        <v>92</v>
      </c>
      <c r="M12" s="62"/>
      <c r="N12" s="127">
        <v>10</v>
      </c>
      <c r="O12" s="157" t="s">
        <v>76</v>
      </c>
      <c r="P12" s="158" t="s">
        <v>86</v>
      </c>
      <c r="Q12" s="62"/>
      <c r="R12" s="132">
        <v>0</v>
      </c>
      <c r="S12" s="305"/>
      <c r="T12" s="306"/>
    </row>
    <row r="13" spans="2:20">
      <c r="B13" s="2"/>
      <c r="C13" s="55" t="s">
        <v>96</v>
      </c>
      <c r="D13" s="141">
        <v>7</v>
      </c>
      <c r="E13" s="59"/>
      <c r="F13" s="127">
        <v>10</v>
      </c>
      <c r="G13" s="166" t="s">
        <v>140</v>
      </c>
      <c r="H13" s="158" t="s">
        <v>87</v>
      </c>
      <c r="I13" s="62"/>
      <c r="J13" s="127">
        <v>20</v>
      </c>
      <c r="K13" s="157" t="s">
        <v>143</v>
      </c>
      <c r="L13" s="158" t="s">
        <v>142</v>
      </c>
      <c r="M13" s="62"/>
      <c r="N13" s="127">
        <v>10</v>
      </c>
      <c r="O13" s="157" t="s">
        <v>92</v>
      </c>
      <c r="P13" s="158" t="s">
        <v>76</v>
      </c>
      <c r="Q13" s="62"/>
      <c r="R13" s="132">
        <v>0</v>
      </c>
      <c r="S13" s="305"/>
      <c r="T13" s="306"/>
    </row>
    <row r="14" spans="2:20">
      <c r="B14" s="2"/>
      <c r="C14" s="55" t="s">
        <v>80</v>
      </c>
      <c r="D14" s="142">
        <v>6</v>
      </c>
      <c r="E14" s="60"/>
      <c r="F14" s="127">
        <v>10</v>
      </c>
      <c r="G14" s="166" t="s">
        <v>140</v>
      </c>
      <c r="H14" s="158" t="s">
        <v>87</v>
      </c>
      <c r="I14" s="62"/>
      <c r="J14" s="127">
        <v>10</v>
      </c>
      <c r="K14" s="157" t="s">
        <v>93</v>
      </c>
      <c r="L14" s="158" t="s">
        <v>75</v>
      </c>
      <c r="M14" s="62"/>
      <c r="N14" s="132">
        <v>0</v>
      </c>
      <c r="O14" s="305"/>
      <c r="P14" s="306"/>
      <c r="Q14" s="62"/>
      <c r="R14" s="132">
        <v>0</v>
      </c>
      <c r="S14" s="305"/>
      <c r="T14" s="306"/>
    </row>
    <row r="15" spans="2:20">
      <c r="B15" s="2"/>
      <c r="C15" s="55" t="s">
        <v>95</v>
      </c>
      <c r="D15" s="142">
        <v>5</v>
      </c>
      <c r="E15" s="60"/>
      <c r="F15" s="127">
        <v>10</v>
      </c>
      <c r="G15" s="166" t="s">
        <v>139</v>
      </c>
      <c r="H15" s="158" t="s">
        <v>143</v>
      </c>
      <c r="I15" s="62"/>
      <c r="J15" s="127">
        <v>10</v>
      </c>
      <c r="K15" s="157" t="s">
        <v>93</v>
      </c>
      <c r="L15" s="158" t="s">
        <v>75</v>
      </c>
      <c r="M15" s="62"/>
      <c r="N15" s="132">
        <v>0</v>
      </c>
      <c r="O15" s="305"/>
      <c r="P15" s="306"/>
      <c r="Q15" s="62"/>
      <c r="R15" s="132">
        <v>0</v>
      </c>
      <c r="S15" s="305"/>
      <c r="T15" s="306"/>
    </row>
    <row r="16" spans="2:20">
      <c r="B16" s="2"/>
      <c r="C16" s="55" t="s">
        <v>81</v>
      </c>
      <c r="D16" s="142">
        <v>4</v>
      </c>
      <c r="E16" s="60"/>
      <c r="F16" s="127">
        <v>15</v>
      </c>
      <c r="G16" s="166" t="s">
        <v>139</v>
      </c>
      <c r="H16" s="158" t="s">
        <v>93</v>
      </c>
      <c r="I16" s="62"/>
      <c r="J16" s="131">
        <v>0</v>
      </c>
      <c r="K16" s="305"/>
      <c r="L16" s="306"/>
      <c r="M16" s="62"/>
      <c r="N16" s="132">
        <v>0</v>
      </c>
      <c r="O16" s="305"/>
      <c r="P16" s="306"/>
      <c r="Q16" s="62"/>
      <c r="R16" s="132">
        <v>0</v>
      </c>
      <c r="S16" s="305"/>
      <c r="T16" s="306"/>
    </row>
    <row r="17" spans="2:20">
      <c r="B17" s="2"/>
      <c r="C17" s="55" t="s">
        <v>94</v>
      </c>
      <c r="D17" s="142">
        <v>3</v>
      </c>
      <c r="E17" s="60"/>
      <c r="F17" s="127">
        <v>10</v>
      </c>
      <c r="G17" s="166" t="s">
        <v>144</v>
      </c>
      <c r="H17" s="158" t="s">
        <v>87</v>
      </c>
      <c r="I17" s="62"/>
      <c r="J17" s="132">
        <v>0</v>
      </c>
      <c r="K17" s="305"/>
      <c r="L17" s="306"/>
      <c r="M17" s="62"/>
      <c r="N17" s="132">
        <v>0</v>
      </c>
      <c r="O17" s="305"/>
      <c r="P17" s="306"/>
      <c r="Q17" s="62"/>
      <c r="R17" s="132">
        <v>0</v>
      </c>
      <c r="S17" s="305"/>
      <c r="T17" s="306"/>
    </row>
    <row r="18" spans="2:20" ht="15.75" thickBot="1">
      <c r="B18" s="2"/>
      <c r="C18" s="56" t="s">
        <v>82</v>
      </c>
      <c r="D18" s="143">
        <v>2</v>
      </c>
      <c r="E18" s="60"/>
      <c r="F18" s="129">
        <v>0</v>
      </c>
      <c r="G18" s="307"/>
      <c r="H18" s="308"/>
      <c r="I18" s="62"/>
      <c r="J18" s="133">
        <v>0</v>
      </c>
      <c r="K18" s="309"/>
      <c r="L18" s="308"/>
      <c r="M18" s="62"/>
      <c r="N18" s="133">
        <v>0</v>
      </c>
      <c r="O18" s="309"/>
      <c r="P18" s="308"/>
      <c r="Q18" s="62"/>
      <c r="R18" s="133">
        <v>0</v>
      </c>
      <c r="S18" s="309"/>
      <c r="T18" s="308"/>
    </row>
    <row r="20" spans="2:20">
      <c r="C20" s="20" t="s">
        <v>21</v>
      </c>
      <c r="D20" s="51"/>
      <c r="E20" s="51"/>
      <c r="H20" s="20" t="s">
        <v>22</v>
      </c>
      <c r="I20" s="20"/>
      <c r="J20" s="20"/>
    </row>
    <row r="22" spans="2:20">
      <c r="C22" s="11" t="s">
        <v>17</v>
      </c>
      <c r="D22" s="47"/>
      <c r="E22" s="47"/>
      <c r="K22" s="11" t="s">
        <v>19</v>
      </c>
    </row>
    <row r="23" spans="2:20">
      <c r="C23" s="1" t="s">
        <v>18</v>
      </c>
      <c r="K23" s="1" t="s">
        <v>73</v>
      </c>
    </row>
    <row r="24" spans="2:20">
      <c r="C24" s="1" t="s">
        <v>101</v>
      </c>
      <c r="K24" s="1" t="s">
        <v>72</v>
      </c>
    </row>
    <row r="25" spans="2:20">
      <c r="K25" s="1" t="s">
        <v>23</v>
      </c>
    </row>
    <row r="26" spans="2:20" ht="15.75" thickBot="1">
      <c r="C26" s="1" t="s">
        <v>13</v>
      </c>
    </row>
    <row r="27" spans="2:20">
      <c r="K27" s="14" t="s">
        <v>14</v>
      </c>
      <c r="L27" s="15" t="s">
        <v>16</v>
      </c>
      <c r="M27" s="45"/>
      <c r="N27" s="45"/>
    </row>
    <row r="28" spans="2:20" ht="15.75" thickBot="1">
      <c r="C28" s="48" t="s">
        <v>74</v>
      </c>
      <c r="K28" s="16" t="s">
        <v>15</v>
      </c>
      <c r="L28" s="17" t="s">
        <v>15</v>
      </c>
      <c r="M28" s="45"/>
      <c r="N28" s="45"/>
    </row>
    <row r="29" spans="2:20" ht="15.75" thickBot="1">
      <c r="C29" s="1" t="s">
        <v>102</v>
      </c>
      <c r="K29" s="18">
        <v>4.1666666666666664E-2</v>
      </c>
      <c r="L29" s="19">
        <v>0.10416666666666667</v>
      </c>
      <c r="M29" s="67"/>
      <c r="N29" s="67"/>
    </row>
    <row r="30" spans="2:20">
      <c r="C30" s="1" t="s">
        <v>103</v>
      </c>
    </row>
    <row r="31" spans="2:20">
      <c r="C31" s="1" t="s">
        <v>105</v>
      </c>
      <c r="K31" s="1" t="s">
        <v>112</v>
      </c>
    </row>
    <row r="32" spans="2:20">
      <c r="C32" s="1" t="s">
        <v>104</v>
      </c>
      <c r="K32" s="1" t="s">
        <v>20</v>
      </c>
    </row>
    <row r="33" spans="3:11" s="1" customFormat="1">
      <c r="D33" s="6"/>
      <c r="E33" s="6"/>
      <c r="K33" s="48"/>
    </row>
    <row r="34" spans="3:11" s="1" customFormat="1">
      <c r="C34" s="1" t="s">
        <v>108</v>
      </c>
      <c r="D34" s="6"/>
      <c r="E34" s="6"/>
      <c r="K34" s="1" t="s">
        <v>114</v>
      </c>
    </row>
    <row r="35" spans="3:11" s="1" customFormat="1">
      <c r="C35" s="1" t="s">
        <v>109</v>
      </c>
      <c r="D35" s="6"/>
      <c r="E35" s="6"/>
      <c r="K35" s="1" t="s">
        <v>113</v>
      </c>
    </row>
    <row r="36" spans="3:11" s="1" customFormat="1">
      <c r="C36" s="1" t="s">
        <v>110</v>
      </c>
      <c r="D36" s="6"/>
      <c r="E36" s="6"/>
    </row>
    <row r="37" spans="3:11" s="1" customFormat="1">
      <c r="C37" s="1" t="s">
        <v>111</v>
      </c>
      <c r="D37" s="6"/>
      <c r="E37" s="6"/>
    </row>
    <row r="39" spans="3:11" s="1" customFormat="1">
      <c r="C39" s="1" t="s">
        <v>107</v>
      </c>
      <c r="D39" s="6"/>
      <c r="E39" s="6"/>
    </row>
    <row r="40" spans="3:11" s="1" customFormat="1">
      <c r="C40" s="1" t="s">
        <v>106</v>
      </c>
      <c r="D40" s="6"/>
      <c r="E40" s="6"/>
    </row>
  </sheetData>
  <sheetProtection password="DD3D" sheet="1" objects="1" scenarios="1"/>
  <mergeCells count="4">
    <mergeCell ref="R5:T5"/>
    <mergeCell ref="N5:P5"/>
    <mergeCell ref="J5:L5"/>
    <mergeCell ref="F5:H5"/>
  </mergeCells>
  <dataValidations count="1">
    <dataValidation allowBlank="1" showInputMessage="1" sqref="F8:F18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btnBrkTemplateNone">
          <controlPr defaultSize="0" autoLine="0" r:id="rId5">
            <anchor moveWithCells="1">
              <from>
                <xdr:col>11</xdr:col>
                <xdr:colOff>381000</xdr:colOff>
                <xdr:row>40</xdr:row>
                <xdr:rowOff>123825</xdr:rowOff>
              </from>
              <to>
                <xdr:col>14</xdr:col>
                <xdr:colOff>609600</xdr:colOff>
                <xdr:row>42</xdr:row>
                <xdr:rowOff>38100</xdr:rowOff>
              </to>
            </anchor>
          </controlPr>
        </control>
      </mc:Choice>
      <mc:Fallback>
        <control shapeId="25605" r:id="rId4" name="btnBrkTemplateNone"/>
      </mc:Fallback>
    </mc:AlternateContent>
    <mc:AlternateContent xmlns:mc="http://schemas.openxmlformats.org/markup-compatibility/2006">
      <mc:Choice Requires="x14">
        <control shapeId="25604" r:id="rId6" name="btnSaveCustomBrkTemplate">
          <controlPr defaultSize="0" autoLine="0" r:id="rId7">
            <anchor moveWithCells="1">
              <from>
                <xdr:col>17</xdr:col>
                <xdr:colOff>219075</xdr:colOff>
                <xdr:row>18</xdr:row>
                <xdr:rowOff>85725</xdr:rowOff>
              </from>
              <to>
                <xdr:col>19</xdr:col>
                <xdr:colOff>561975</xdr:colOff>
                <xdr:row>20</xdr:row>
                <xdr:rowOff>0</xdr:rowOff>
              </to>
            </anchor>
          </controlPr>
        </control>
      </mc:Choice>
      <mc:Fallback>
        <control shapeId="25604" r:id="rId6" name="btnSaveCustomBrkTemplate"/>
      </mc:Fallback>
    </mc:AlternateContent>
    <mc:AlternateContent xmlns:mc="http://schemas.openxmlformats.org/markup-compatibility/2006">
      <mc:Choice Requires="x14">
        <control shapeId="25603" r:id="rId8" name="bnLoadBrkTemplateCustom">
          <controlPr defaultSize="0" autoLine="0" r:id="rId9">
            <anchor moveWithCells="1">
              <from>
                <xdr:col>8</xdr:col>
                <xdr:colOff>9525</xdr:colOff>
                <xdr:row>40</xdr:row>
                <xdr:rowOff>123825</xdr:rowOff>
              </from>
              <to>
                <xdr:col>11</xdr:col>
                <xdr:colOff>238125</xdr:colOff>
                <xdr:row>42</xdr:row>
                <xdr:rowOff>38100</xdr:rowOff>
              </to>
            </anchor>
          </controlPr>
        </control>
      </mc:Choice>
      <mc:Fallback>
        <control shapeId="25603" r:id="rId8" name="bnLoadBrkTemplateCustom"/>
      </mc:Fallback>
    </mc:AlternateContent>
    <mc:AlternateContent xmlns:mc="http://schemas.openxmlformats.org/markup-compatibility/2006">
      <mc:Choice Requires="x14">
        <control shapeId="25602" r:id="rId10" name="bnLoadBrkTemplate2">
          <controlPr defaultSize="0" autoLine="0" r:id="rId11">
            <anchor moveWithCells="1">
              <from>
                <xdr:col>5</xdr:col>
                <xdr:colOff>133350</xdr:colOff>
                <xdr:row>40</xdr:row>
                <xdr:rowOff>123825</xdr:rowOff>
              </from>
              <to>
                <xdr:col>7</xdr:col>
                <xdr:colOff>581025</xdr:colOff>
                <xdr:row>42</xdr:row>
                <xdr:rowOff>38100</xdr:rowOff>
              </to>
            </anchor>
          </controlPr>
        </control>
      </mc:Choice>
      <mc:Fallback>
        <control shapeId="25602" r:id="rId10" name="bnLoadBrkTemplate2"/>
      </mc:Fallback>
    </mc:AlternateContent>
    <mc:AlternateContent xmlns:mc="http://schemas.openxmlformats.org/markup-compatibility/2006">
      <mc:Choice Requires="x14">
        <control shapeId="25601" r:id="rId12" name="btnLoadBrkTemplate1">
          <controlPr defaultSize="0" autoLine="0" r:id="rId13">
            <anchor moveWithCells="1">
              <from>
                <xdr:col>2</xdr:col>
                <xdr:colOff>123825</xdr:colOff>
                <xdr:row>40</xdr:row>
                <xdr:rowOff>123825</xdr:rowOff>
              </from>
              <to>
                <xdr:col>4</xdr:col>
                <xdr:colOff>104775</xdr:colOff>
                <xdr:row>42</xdr:row>
                <xdr:rowOff>38100</xdr:rowOff>
              </to>
            </anchor>
          </controlPr>
        </control>
      </mc:Choice>
      <mc:Fallback>
        <control shapeId="25601" r:id="rId12" name="btnLoadBrkTemplat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499984740745262"/>
  </sheetPr>
  <dimension ref="B1:Y13"/>
  <sheetViews>
    <sheetView workbookViewId="0">
      <selection activeCell="L15" sqref="L15"/>
    </sheetView>
  </sheetViews>
  <sheetFormatPr defaultRowHeight="15"/>
  <cols>
    <col min="1" max="2" width="9.140625" style="1"/>
    <col min="3" max="3" width="14" style="1" customWidth="1"/>
    <col min="4" max="11" width="9.140625" style="1"/>
    <col min="12" max="12" width="10.7109375" style="7" customWidth="1"/>
    <col min="13" max="16384" width="9.140625" style="1"/>
  </cols>
  <sheetData>
    <row r="1" spans="2:25">
      <c r="X1" s="53"/>
      <c r="Y1" s="235"/>
    </row>
    <row r="2" spans="2:25">
      <c r="K2" s="11" t="s">
        <v>64</v>
      </c>
    </row>
    <row r="3" spans="2:25">
      <c r="B3" s="24" t="s">
        <v>475</v>
      </c>
      <c r="C3" s="36" t="s">
        <v>445</v>
      </c>
      <c r="K3" s="41" t="s">
        <v>63</v>
      </c>
      <c r="L3" s="52" t="s">
        <v>61</v>
      </c>
    </row>
    <row r="4" spans="2:25">
      <c r="K4" s="41" t="s">
        <v>88</v>
      </c>
      <c r="L4" s="42" t="s">
        <v>61</v>
      </c>
    </row>
    <row r="5" spans="2:25">
      <c r="K5" s="41" t="s">
        <v>138</v>
      </c>
      <c r="L5" s="42" t="s">
        <v>61</v>
      </c>
    </row>
    <row r="7" spans="2:25">
      <c r="B7" s="24" t="s">
        <v>152</v>
      </c>
    </row>
    <row r="11" spans="2:25">
      <c r="K11" s="13" t="s">
        <v>457</v>
      </c>
      <c r="L11" s="42"/>
    </row>
    <row r="12" spans="2:25">
      <c r="K12" s="41" t="s">
        <v>458</v>
      </c>
      <c r="L12" s="42"/>
    </row>
    <row r="13" spans="2:25">
      <c r="K13" s="41" t="s">
        <v>477</v>
      </c>
      <c r="L13" s="42">
        <v>36</v>
      </c>
    </row>
  </sheetData>
  <sheetProtection password="DD3D" sheet="1" objects="1" scenarios="1"/>
  <dataValidations count="1">
    <dataValidation type="list" allowBlank="1" showInputMessage="1" showErrorMessage="1" sqref="C3">
      <formula1>"12-Hour,12-Hour AMPM,24-Hour,French"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31" r:id="rId4" name="btnShowScheduleHx">
          <controlPr defaultSize="0" autoLine="0" autoPict="0" r:id="rId5">
            <anchor moveWithCells="1">
              <from>
                <xdr:col>2</xdr:col>
                <xdr:colOff>76200</xdr:colOff>
                <xdr:row>10</xdr:row>
                <xdr:rowOff>171450</xdr:rowOff>
              </from>
              <to>
                <xdr:col>4</xdr:col>
                <xdr:colOff>95250</xdr:colOff>
                <xdr:row>12</xdr:row>
                <xdr:rowOff>57150</xdr:rowOff>
              </to>
            </anchor>
          </controlPr>
        </control>
      </mc:Choice>
      <mc:Fallback>
        <control shapeId="22531" r:id="rId4" name="btnShowScheduleHx"/>
      </mc:Fallback>
    </mc:AlternateContent>
    <mc:AlternateContent xmlns:mc="http://schemas.openxmlformats.org/markup-compatibility/2006">
      <mc:Choice Requires="x14">
        <control shapeId="22530" r:id="rId6" name="OptionDateFormatNotUSA">
          <controlPr defaultSize="0" autoLine="0" r:id="rId7">
            <anchor moveWithCells="1">
              <from>
                <xdr:col>2</xdr:col>
                <xdr:colOff>9525</xdr:colOff>
                <xdr:row>6</xdr:row>
                <xdr:rowOff>161925</xdr:rowOff>
              </from>
              <to>
                <xdr:col>4</xdr:col>
                <xdr:colOff>190500</xdr:colOff>
                <xdr:row>8</xdr:row>
                <xdr:rowOff>28575</xdr:rowOff>
              </to>
            </anchor>
          </controlPr>
        </control>
      </mc:Choice>
      <mc:Fallback>
        <control shapeId="22530" r:id="rId6" name="OptionDateFormatNotUSA"/>
      </mc:Fallback>
    </mc:AlternateContent>
    <mc:AlternateContent xmlns:mc="http://schemas.openxmlformats.org/markup-compatibility/2006">
      <mc:Choice Requires="x14">
        <control shapeId="22529" r:id="rId8" name="OptionDateFormatUSA">
          <controlPr defaultSize="0" autoLine="0" r:id="rId9">
            <anchor moveWithCells="1">
              <from>
                <xdr:col>2</xdr:col>
                <xdr:colOff>9525</xdr:colOff>
                <xdr:row>5</xdr:row>
                <xdr:rowOff>47625</xdr:rowOff>
              </from>
              <to>
                <xdr:col>4</xdr:col>
                <xdr:colOff>190500</xdr:colOff>
                <xdr:row>6</xdr:row>
                <xdr:rowOff>104775</xdr:rowOff>
              </to>
            </anchor>
          </controlPr>
        </control>
      </mc:Choice>
      <mc:Fallback>
        <control shapeId="22529" r:id="rId8" name="OptionDateFormatUSA"/>
      </mc:Fallback>
    </mc:AlternateContent>
    <mc:AlternateContent xmlns:mc="http://schemas.openxmlformats.org/markup-compatibility/2006">
      <mc:Choice Requires="x14">
        <control shapeId="22532" r:id="rId10" name="btnShowConfigureBreaks">
          <controlPr defaultSize="0" autoLine="0" autoPict="0" r:id="rId11">
            <anchor moveWithCells="1">
              <from>
                <xdr:col>2</xdr:col>
                <xdr:colOff>76200</xdr:colOff>
                <xdr:row>13</xdr:row>
                <xdr:rowOff>0</xdr:rowOff>
              </from>
              <to>
                <xdr:col>4</xdr:col>
                <xdr:colOff>95250</xdr:colOff>
                <xdr:row>14</xdr:row>
                <xdr:rowOff>76200</xdr:rowOff>
              </to>
            </anchor>
          </controlPr>
        </control>
      </mc:Choice>
      <mc:Fallback>
        <control shapeId="22532" r:id="rId10" name="btnShowConfigureBreak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K22"/>
  <sheetViews>
    <sheetView workbookViewId="0">
      <pane ySplit="1" topLeftCell="A2" activePane="bottomLeft" state="frozen"/>
      <selection activeCell="I15" sqref="I15"/>
      <selection pane="bottomLeft"/>
    </sheetView>
  </sheetViews>
  <sheetFormatPr defaultRowHeight="15"/>
  <cols>
    <col min="1" max="1" width="9.140625" style="88"/>
    <col min="2" max="2" width="15.7109375" style="81" customWidth="1"/>
    <col min="3" max="3" width="15.7109375" style="82" customWidth="1"/>
    <col min="4" max="4" width="6.7109375" style="84" customWidth="1"/>
    <col min="5" max="5" width="6.7109375" style="83" customWidth="1"/>
    <col min="6" max="6" width="13" style="71" customWidth="1"/>
    <col min="7" max="7" width="9.140625" style="74"/>
    <col min="8" max="8" width="9.140625" style="70"/>
    <col min="9" max="9" width="35.7109375" style="77" customWidth="1"/>
    <col min="10" max="10" width="9.140625" style="7"/>
    <col min="11" max="11" width="100.7109375" style="87" customWidth="1"/>
    <col min="12" max="16384" width="9.140625" style="1"/>
  </cols>
  <sheetData>
    <row r="1" spans="1:11" ht="15.75" thickBot="1">
      <c r="A1" s="89"/>
      <c r="B1" s="78" t="s">
        <v>62</v>
      </c>
      <c r="C1" s="79"/>
      <c r="D1" s="79"/>
      <c r="E1" s="80"/>
      <c r="F1" s="72"/>
      <c r="G1" s="73"/>
      <c r="H1" s="61"/>
      <c r="I1" s="75"/>
      <c r="K1" s="85"/>
    </row>
    <row r="2" spans="1:11">
      <c r="I2" s="76"/>
      <c r="K2" s="86"/>
    </row>
    <row r="21" spans="5:5">
      <c r="E21" s="189"/>
    </row>
    <row r="22" spans="5:5">
      <c r="E22" s="189"/>
    </row>
  </sheetData>
  <sheetProtection password="DD3D" sheet="1" objects="1" scenarios="1"/>
  <sortState ref="A2:K40">
    <sortCondition ref="B2:B40"/>
    <sortCondition ref="C2:C40"/>
    <sortCondition ref="D2:D40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W1"/>
  <sheetViews>
    <sheetView workbookViewId="0">
      <pane ySplit="1" topLeftCell="A2" activePane="bottomLeft" state="frozen"/>
      <selection activeCell="I15" sqref="I15"/>
      <selection pane="bottomLeft"/>
    </sheetView>
  </sheetViews>
  <sheetFormatPr defaultRowHeight="15"/>
  <cols>
    <col min="1" max="1" width="12.42578125" style="39" customWidth="1"/>
    <col min="2" max="2" width="1.7109375" style="139" customWidth="1"/>
    <col min="3" max="3" width="9.140625" style="39"/>
    <col min="4" max="4" width="24.28515625" style="39" customWidth="1"/>
    <col min="5" max="5" width="9.140625" style="39" customWidth="1"/>
    <col min="6" max="6" width="1.7109375" style="39" customWidth="1"/>
    <col min="7" max="9" width="7.7109375" style="39" customWidth="1"/>
    <col min="10" max="10" width="1.7109375" style="39" customWidth="1"/>
    <col min="11" max="18" width="7.7109375" style="39" customWidth="1"/>
    <col min="19" max="19" width="19.7109375" style="39" customWidth="1"/>
    <col min="20" max="20" width="1.7109375" style="39" customWidth="1"/>
    <col min="21" max="21" width="25.7109375" style="39" customWidth="1"/>
    <col min="22" max="22" width="60.7109375" style="39" customWidth="1"/>
    <col min="23" max="23" width="100.7109375" style="39" customWidth="1"/>
    <col min="24" max="16384" width="9.140625" style="39"/>
  </cols>
  <sheetData>
    <row r="1" spans="1:23">
      <c r="A1" s="111"/>
      <c r="B1" s="138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</row>
  </sheetData>
  <sheetProtection password="DD3D" sheet="1" objects="1" scenarios="1"/>
  <sortState ref="A1:W1">
    <sortCondition ref="A1:A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39997558519241921"/>
  </sheetPr>
  <dimension ref="A1:K9"/>
  <sheetViews>
    <sheetView workbookViewId="0">
      <selection activeCell="A11" sqref="A11"/>
    </sheetView>
  </sheetViews>
  <sheetFormatPr defaultRowHeight="15"/>
  <cols>
    <col min="1" max="1" width="10.7109375" style="313" customWidth="1"/>
    <col min="2" max="2" width="13.28515625" style="313" customWidth="1"/>
    <col min="3" max="3" width="1" style="313" customWidth="1"/>
    <col min="4" max="4" width="10.7109375" style="313" customWidth="1"/>
    <col min="5" max="5" width="13.28515625" style="313" customWidth="1"/>
    <col min="6" max="6" width="1" style="313" customWidth="1"/>
    <col min="7" max="7" width="10.7109375" style="313" customWidth="1"/>
    <col min="8" max="8" width="13.28515625" style="316" customWidth="1"/>
    <col min="9" max="9" width="1" style="315" customWidth="1"/>
    <col min="10" max="10" width="10.7109375" style="313" customWidth="1"/>
    <col min="11" max="11" width="13.28515625" style="316" customWidth="1"/>
    <col min="12" max="16384" width="9.140625" style="1"/>
  </cols>
  <sheetData>
    <row r="1" spans="1:11">
      <c r="A1" s="223"/>
      <c r="B1" s="332"/>
      <c r="C1" s="332"/>
      <c r="D1" s="332"/>
      <c r="E1" s="332"/>
      <c r="F1" s="332"/>
      <c r="G1" s="223"/>
      <c r="H1" s="221"/>
      <c r="I1" s="200"/>
      <c r="J1" s="223"/>
      <c r="K1" s="221"/>
    </row>
    <row r="2" spans="1:11">
      <c r="A2" s="221"/>
      <c r="B2" s="221"/>
      <c r="C2" s="221"/>
      <c r="D2" s="221"/>
      <c r="E2" s="221"/>
      <c r="F2" s="221"/>
      <c r="G2" s="221"/>
      <c r="H2" s="203"/>
      <c r="I2" s="200"/>
      <c r="J2" s="221"/>
      <c r="K2" s="203"/>
    </row>
    <row r="3" spans="1:11">
      <c r="A3" s="220"/>
      <c r="B3" s="220"/>
      <c r="C3" s="222"/>
      <c r="D3" s="220"/>
      <c r="E3" s="220"/>
      <c r="F3" s="222"/>
      <c r="G3" s="220"/>
      <c r="H3" s="204"/>
      <c r="I3" s="201"/>
      <c r="J3" s="220"/>
      <c r="K3" s="204"/>
    </row>
    <row r="4" spans="1:11">
      <c r="A4" s="220"/>
      <c r="B4" s="220"/>
      <c r="C4" s="222"/>
      <c r="D4" s="220"/>
      <c r="E4" s="220"/>
      <c r="F4" s="222"/>
      <c r="G4" s="220"/>
      <c r="H4" s="204"/>
      <c r="I4" s="201"/>
      <c r="J4" s="220"/>
      <c r="K4" s="204"/>
    </row>
    <row r="5" spans="1:11">
      <c r="A5" s="220"/>
      <c r="B5" s="220"/>
      <c r="C5" s="222"/>
      <c r="D5" s="220"/>
      <c r="E5" s="220"/>
      <c r="F5" s="222"/>
      <c r="G5" s="220"/>
      <c r="H5" s="204"/>
      <c r="I5" s="201"/>
      <c r="J5" s="220"/>
      <c r="K5" s="204"/>
    </row>
    <row r="6" spans="1:11">
      <c r="A6" s="220"/>
      <c r="B6" s="220"/>
      <c r="C6" s="222"/>
      <c r="D6" s="220"/>
      <c r="E6" s="220"/>
      <c r="F6" s="222"/>
      <c r="G6" s="220"/>
      <c r="H6" s="204"/>
      <c r="I6" s="201"/>
      <c r="J6" s="220"/>
      <c r="K6" s="204"/>
    </row>
    <row r="7" spans="1:11">
      <c r="A7" s="220"/>
      <c r="B7" s="220"/>
      <c r="C7" s="222"/>
      <c r="D7" s="220"/>
      <c r="E7" s="220"/>
      <c r="F7" s="222"/>
      <c r="G7" s="220"/>
      <c r="H7" s="204"/>
      <c r="I7" s="201"/>
      <c r="J7" s="220"/>
      <c r="K7" s="204"/>
    </row>
    <row r="8" spans="1:11">
      <c r="A8" s="220"/>
      <c r="B8" s="220"/>
      <c r="C8" s="222"/>
      <c r="D8" s="220"/>
      <c r="E8" s="220"/>
      <c r="F8" s="222"/>
      <c r="G8" s="220"/>
      <c r="H8" s="204"/>
      <c r="I8" s="201"/>
      <c r="J8" s="220"/>
      <c r="K8" s="204"/>
    </row>
    <row r="9" spans="1:11">
      <c r="A9" s="220"/>
      <c r="B9" s="220"/>
      <c r="C9" s="222"/>
      <c r="D9" s="220"/>
      <c r="E9" s="220"/>
      <c r="F9" s="222"/>
      <c r="G9" s="220"/>
      <c r="H9" s="204"/>
      <c r="I9" s="201"/>
      <c r="J9" s="220"/>
      <c r="K9" s="204"/>
    </row>
  </sheetData>
  <sheetProtection password="DD3D" sheet="1" objects="1" scenarios="1"/>
  <mergeCells count="1">
    <mergeCell ref="B1:F1"/>
  </mergeCells>
  <pageMargins left="0.25" right="0.25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L26"/>
  <sheetViews>
    <sheetView workbookViewId="0">
      <selection activeCell="B26" sqref="B26"/>
    </sheetView>
  </sheetViews>
  <sheetFormatPr defaultRowHeight="15"/>
  <cols>
    <col min="1" max="1" width="10.7109375" style="214" customWidth="1"/>
    <col min="2" max="2" width="10.7109375" style="226" customWidth="1"/>
    <col min="3" max="5" width="7.7109375" style="208" customWidth="1"/>
    <col min="6" max="6" width="4.42578125" style="211" customWidth="1"/>
    <col min="7" max="7" width="7.7109375" style="208" customWidth="1"/>
    <col min="8" max="8" width="4.42578125" style="211" customWidth="1"/>
    <col min="9" max="9" width="7.7109375" style="208" customWidth="1"/>
    <col min="10" max="10" width="4.42578125" style="213" customWidth="1"/>
    <col min="11" max="11" width="7.7109375" style="214" customWidth="1"/>
    <col min="12" max="12" width="4.42578125" style="213" customWidth="1"/>
    <col min="13" max="16384" width="9.140625" style="206"/>
  </cols>
  <sheetData>
    <row r="1" spans="1:9">
      <c r="A1" s="209" t="s">
        <v>460</v>
      </c>
      <c r="B1" s="338"/>
      <c r="C1" s="338"/>
      <c r="D1" s="338"/>
      <c r="E1" s="338"/>
      <c r="F1" s="338"/>
      <c r="G1" s="338"/>
      <c r="I1" s="214"/>
    </row>
    <row r="2" spans="1:9">
      <c r="A2" s="209"/>
      <c r="B2" s="333"/>
      <c r="C2" s="333"/>
      <c r="E2" s="209"/>
      <c r="F2" s="335"/>
      <c r="G2" s="335"/>
      <c r="I2" s="214"/>
    </row>
    <row r="3" spans="1:9">
      <c r="A3" s="210"/>
      <c r="B3" s="334"/>
      <c r="C3" s="334"/>
      <c r="D3" s="207"/>
      <c r="E3" s="210"/>
      <c r="F3" s="336"/>
      <c r="G3" s="337"/>
      <c r="H3" s="212"/>
      <c r="I3" s="214"/>
    </row>
    <row r="4" spans="1:9">
      <c r="B4" s="225"/>
      <c r="C4" s="207"/>
      <c r="D4" s="207"/>
      <c r="E4" s="207"/>
      <c r="F4" s="212"/>
      <c r="G4" s="207"/>
      <c r="H4" s="212"/>
      <c r="I4" s="207"/>
    </row>
    <row r="5" spans="1:9">
      <c r="B5" s="225"/>
      <c r="C5" s="207"/>
      <c r="D5" s="207"/>
      <c r="E5" s="207"/>
      <c r="F5" s="212"/>
      <c r="G5" s="207"/>
      <c r="H5" s="212"/>
      <c r="I5" s="207"/>
    </row>
    <row r="6" spans="1:9">
      <c r="B6" s="225"/>
      <c r="C6" s="207"/>
      <c r="D6" s="207"/>
      <c r="E6" s="207"/>
      <c r="F6" s="212"/>
      <c r="G6" s="207"/>
      <c r="H6" s="212"/>
      <c r="I6" s="207"/>
    </row>
    <row r="7" spans="1:9">
      <c r="B7" s="225"/>
      <c r="C7" s="207"/>
      <c r="D7" s="207"/>
      <c r="E7" s="207"/>
      <c r="F7" s="212"/>
      <c r="G7" s="207"/>
      <c r="H7" s="212"/>
      <c r="I7" s="207"/>
    </row>
    <row r="8" spans="1:9">
      <c r="B8" s="225"/>
      <c r="C8" s="207"/>
      <c r="D8" s="207"/>
      <c r="E8" s="207"/>
      <c r="F8" s="212"/>
      <c r="G8" s="207"/>
      <c r="H8" s="212"/>
      <c r="I8" s="207"/>
    </row>
    <row r="9" spans="1:9">
      <c r="B9" s="225"/>
      <c r="C9" s="207"/>
      <c r="D9" s="207"/>
      <c r="E9" s="207"/>
      <c r="F9" s="212"/>
      <c r="G9" s="207"/>
      <c r="H9" s="212"/>
      <c r="I9" s="207"/>
    </row>
    <row r="10" spans="1:9">
      <c r="B10" s="225"/>
      <c r="C10" s="207"/>
      <c r="D10" s="207"/>
      <c r="E10" s="207"/>
      <c r="F10" s="212"/>
      <c r="G10" s="207"/>
      <c r="H10" s="212"/>
      <c r="I10" s="207"/>
    </row>
    <row r="11" spans="1:9">
      <c r="B11" s="225"/>
      <c r="C11" s="207"/>
      <c r="D11" s="207"/>
      <c r="E11" s="207"/>
      <c r="F11" s="212"/>
      <c r="G11" s="207"/>
      <c r="H11" s="212"/>
      <c r="I11" s="207"/>
    </row>
    <row r="17" spans="12:12">
      <c r="L17" s="213" t="s">
        <v>459</v>
      </c>
    </row>
    <row r="26" spans="12:12">
      <c r="L26" s="213">
        <v>15</v>
      </c>
    </row>
  </sheetData>
  <sheetProtection password="DD3D" sheet="1" objects="1" scenarios="1"/>
  <mergeCells count="5">
    <mergeCell ref="B2:C2"/>
    <mergeCell ref="B3:C3"/>
    <mergeCell ref="F2:G2"/>
    <mergeCell ref="F3:G3"/>
    <mergeCell ref="B1:G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2:C130"/>
  <sheetViews>
    <sheetView workbookViewId="0"/>
  </sheetViews>
  <sheetFormatPr defaultRowHeight="15"/>
  <cols>
    <col min="1" max="1" width="30.140625" style="190" customWidth="1"/>
    <col min="2" max="2" width="10.7109375" style="6" customWidth="1"/>
    <col min="3" max="3" width="48.85546875" style="6" customWidth="1"/>
    <col min="4" max="16384" width="9.140625" style="7"/>
  </cols>
  <sheetData>
    <row r="2" spans="1:3">
      <c r="B2" s="209" t="s">
        <v>461</v>
      </c>
      <c r="C2" s="233" t="s">
        <v>462</v>
      </c>
    </row>
    <row r="3" spans="1:3" s="114" customFormat="1">
      <c r="A3" s="191"/>
      <c r="B3" s="40"/>
      <c r="C3" s="234" t="s">
        <v>478</v>
      </c>
    </row>
    <row r="4" spans="1:3" s="114" customFormat="1" ht="17.25" customHeight="1" thickBot="1">
      <c r="A4" s="238" t="s">
        <v>464</v>
      </c>
      <c r="B4" s="239">
        <f>SUM(B5:B129)</f>
        <v>0</v>
      </c>
      <c r="C4" s="194" t="s">
        <v>463</v>
      </c>
    </row>
    <row r="5" spans="1:3" s="114" customFormat="1">
      <c r="A5" s="227"/>
      <c r="B5" s="228"/>
      <c r="C5" s="240" t="str">
        <f>IF($B5&gt;0,$B5/$B$4,"")</f>
        <v/>
      </c>
    </row>
    <row r="6" spans="1:3" s="114" customFormat="1">
      <c r="A6" s="231"/>
      <c r="B6" s="229"/>
      <c r="C6" s="241" t="str">
        <f t="shared" ref="C6:C69" si="0">IF($B6&gt;0,$B6/$B$4,"")</f>
        <v/>
      </c>
    </row>
    <row r="7" spans="1:3" s="114" customFormat="1">
      <c r="A7" s="231"/>
      <c r="B7" s="229"/>
      <c r="C7" s="241" t="str">
        <f t="shared" si="0"/>
        <v/>
      </c>
    </row>
    <row r="8" spans="1:3" s="114" customFormat="1">
      <c r="A8" s="231"/>
      <c r="B8" s="229"/>
      <c r="C8" s="241" t="str">
        <f t="shared" si="0"/>
        <v/>
      </c>
    </row>
    <row r="9" spans="1:3" s="114" customFormat="1">
      <c r="A9" s="231"/>
      <c r="B9" s="229"/>
      <c r="C9" s="241" t="str">
        <f t="shared" si="0"/>
        <v/>
      </c>
    </row>
    <row r="10" spans="1:3" s="114" customFormat="1">
      <c r="A10" s="231"/>
      <c r="B10" s="229"/>
      <c r="C10" s="241" t="str">
        <f t="shared" si="0"/>
        <v/>
      </c>
    </row>
    <row r="11" spans="1:3" s="114" customFormat="1">
      <c r="A11" s="231"/>
      <c r="B11" s="229"/>
      <c r="C11" s="241" t="str">
        <f t="shared" si="0"/>
        <v/>
      </c>
    </row>
    <row r="12" spans="1:3" s="114" customFormat="1">
      <c r="A12" s="231"/>
      <c r="B12" s="229"/>
      <c r="C12" s="241" t="str">
        <f t="shared" si="0"/>
        <v/>
      </c>
    </row>
    <row r="13" spans="1:3" s="114" customFormat="1">
      <c r="A13" s="231"/>
      <c r="B13" s="229"/>
      <c r="C13" s="241" t="str">
        <f t="shared" si="0"/>
        <v/>
      </c>
    </row>
    <row r="14" spans="1:3" s="114" customFormat="1">
      <c r="A14" s="231"/>
      <c r="B14" s="229"/>
      <c r="C14" s="241" t="str">
        <f t="shared" si="0"/>
        <v/>
      </c>
    </row>
    <row r="15" spans="1:3" s="114" customFormat="1">
      <c r="A15" s="231"/>
      <c r="B15" s="229"/>
      <c r="C15" s="241" t="str">
        <f t="shared" si="0"/>
        <v/>
      </c>
    </row>
    <row r="16" spans="1:3" s="114" customFormat="1">
      <c r="A16" s="231"/>
      <c r="B16" s="229"/>
      <c r="C16" s="241" t="str">
        <f t="shared" si="0"/>
        <v/>
      </c>
    </row>
    <row r="17" spans="1:3" s="114" customFormat="1">
      <c r="A17" s="231"/>
      <c r="B17" s="229"/>
      <c r="C17" s="241" t="str">
        <f t="shared" si="0"/>
        <v/>
      </c>
    </row>
    <row r="18" spans="1:3" s="114" customFormat="1">
      <c r="A18" s="231"/>
      <c r="B18" s="229"/>
      <c r="C18" s="241" t="str">
        <f t="shared" si="0"/>
        <v/>
      </c>
    </row>
    <row r="19" spans="1:3" s="114" customFormat="1">
      <c r="A19" s="231"/>
      <c r="B19" s="229"/>
      <c r="C19" s="241" t="str">
        <f t="shared" si="0"/>
        <v/>
      </c>
    </row>
    <row r="20" spans="1:3" s="114" customFormat="1">
      <c r="A20" s="231"/>
      <c r="B20" s="229"/>
      <c r="C20" s="241" t="str">
        <f t="shared" si="0"/>
        <v/>
      </c>
    </row>
    <row r="21" spans="1:3" s="114" customFormat="1">
      <c r="A21" s="231"/>
      <c r="B21" s="229"/>
      <c r="C21" s="241" t="str">
        <f t="shared" si="0"/>
        <v/>
      </c>
    </row>
    <row r="22" spans="1:3" s="114" customFormat="1">
      <c r="A22" s="231"/>
      <c r="B22" s="229"/>
      <c r="C22" s="241" t="str">
        <f t="shared" si="0"/>
        <v/>
      </c>
    </row>
    <row r="23" spans="1:3" s="114" customFormat="1">
      <c r="A23" s="231"/>
      <c r="B23" s="229"/>
      <c r="C23" s="241" t="str">
        <f t="shared" si="0"/>
        <v/>
      </c>
    </row>
    <row r="24" spans="1:3" s="114" customFormat="1">
      <c r="A24" s="231"/>
      <c r="B24" s="229"/>
      <c r="C24" s="241" t="str">
        <f t="shared" si="0"/>
        <v/>
      </c>
    </row>
    <row r="25" spans="1:3" s="114" customFormat="1">
      <c r="A25" s="231"/>
      <c r="B25" s="229"/>
      <c r="C25" s="241" t="str">
        <f t="shared" si="0"/>
        <v/>
      </c>
    </row>
    <row r="26" spans="1:3" s="114" customFormat="1">
      <c r="A26" s="231"/>
      <c r="B26" s="229"/>
      <c r="C26" s="241" t="str">
        <f t="shared" si="0"/>
        <v/>
      </c>
    </row>
    <row r="27" spans="1:3" s="114" customFormat="1">
      <c r="A27" s="231"/>
      <c r="B27" s="229"/>
      <c r="C27" s="241" t="str">
        <f t="shared" si="0"/>
        <v/>
      </c>
    </row>
    <row r="28" spans="1:3" s="114" customFormat="1">
      <c r="A28" s="231"/>
      <c r="B28" s="229"/>
      <c r="C28" s="241" t="str">
        <f t="shared" si="0"/>
        <v/>
      </c>
    </row>
    <row r="29" spans="1:3" s="114" customFormat="1">
      <c r="A29" s="231"/>
      <c r="B29" s="229"/>
      <c r="C29" s="241" t="str">
        <f t="shared" si="0"/>
        <v/>
      </c>
    </row>
    <row r="30" spans="1:3" s="114" customFormat="1">
      <c r="A30" s="231"/>
      <c r="B30" s="229"/>
      <c r="C30" s="241" t="str">
        <f t="shared" si="0"/>
        <v/>
      </c>
    </row>
    <row r="31" spans="1:3" s="114" customFormat="1">
      <c r="A31" s="231"/>
      <c r="B31" s="229"/>
      <c r="C31" s="241" t="str">
        <f t="shared" si="0"/>
        <v/>
      </c>
    </row>
    <row r="32" spans="1:3" s="114" customFormat="1">
      <c r="A32" s="231"/>
      <c r="B32" s="229"/>
      <c r="C32" s="241" t="str">
        <f t="shared" si="0"/>
        <v/>
      </c>
    </row>
    <row r="33" spans="1:3" s="114" customFormat="1">
      <c r="A33" s="231"/>
      <c r="B33" s="229"/>
      <c r="C33" s="241" t="str">
        <f t="shared" si="0"/>
        <v/>
      </c>
    </row>
    <row r="34" spans="1:3" s="114" customFormat="1">
      <c r="A34" s="231"/>
      <c r="B34" s="229"/>
      <c r="C34" s="241" t="str">
        <f t="shared" si="0"/>
        <v/>
      </c>
    </row>
    <row r="35" spans="1:3" s="114" customFormat="1">
      <c r="A35" s="231"/>
      <c r="B35" s="229"/>
      <c r="C35" s="241" t="str">
        <f t="shared" si="0"/>
        <v/>
      </c>
    </row>
    <row r="36" spans="1:3" s="114" customFormat="1">
      <c r="A36" s="231"/>
      <c r="B36" s="229"/>
      <c r="C36" s="241" t="str">
        <f t="shared" si="0"/>
        <v/>
      </c>
    </row>
    <row r="37" spans="1:3" s="114" customFormat="1">
      <c r="A37" s="231"/>
      <c r="B37" s="229"/>
      <c r="C37" s="241" t="str">
        <f t="shared" si="0"/>
        <v/>
      </c>
    </row>
    <row r="38" spans="1:3" s="114" customFormat="1">
      <c r="A38" s="231"/>
      <c r="B38" s="229"/>
      <c r="C38" s="241" t="str">
        <f t="shared" si="0"/>
        <v/>
      </c>
    </row>
    <row r="39" spans="1:3" s="114" customFormat="1">
      <c r="A39" s="231"/>
      <c r="B39" s="229"/>
      <c r="C39" s="241" t="str">
        <f t="shared" si="0"/>
        <v/>
      </c>
    </row>
    <row r="40" spans="1:3" s="114" customFormat="1">
      <c r="A40" s="231"/>
      <c r="B40" s="229"/>
      <c r="C40" s="241" t="str">
        <f t="shared" si="0"/>
        <v/>
      </c>
    </row>
    <row r="41" spans="1:3" s="114" customFormat="1">
      <c r="A41" s="231"/>
      <c r="B41" s="229"/>
      <c r="C41" s="241" t="str">
        <f t="shared" si="0"/>
        <v/>
      </c>
    </row>
    <row r="42" spans="1:3" s="114" customFormat="1">
      <c r="A42" s="231"/>
      <c r="B42" s="229"/>
      <c r="C42" s="241" t="str">
        <f t="shared" si="0"/>
        <v/>
      </c>
    </row>
    <row r="43" spans="1:3" s="114" customFormat="1">
      <c r="A43" s="231"/>
      <c r="B43" s="229"/>
      <c r="C43" s="241" t="str">
        <f t="shared" si="0"/>
        <v/>
      </c>
    </row>
    <row r="44" spans="1:3" s="114" customFormat="1">
      <c r="A44" s="231"/>
      <c r="B44" s="229"/>
      <c r="C44" s="241" t="str">
        <f t="shared" si="0"/>
        <v/>
      </c>
    </row>
    <row r="45" spans="1:3" s="114" customFormat="1">
      <c r="A45" s="231"/>
      <c r="B45" s="229"/>
      <c r="C45" s="241" t="str">
        <f t="shared" si="0"/>
        <v/>
      </c>
    </row>
    <row r="46" spans="1:3" s="114" customFormat="1">
      <c r="A46" s="231"/>
      <c r="B46" s="229"/>
      <c r="C46" s="241" t="str">
        <f t="shared" si="0"/>
        <v/>
      </c>
    </row>
    <row r="47" spans="1:3" s="114" customFormat="1">
      <c r="A47" s="231"/>
      <c r="B47" s="229"/>
      <c r="C47" s="241" t="str">
        <f t="shared" si="0"/>
        <v/>
      </c>
    </row>
    <row r="48" spans="1:3" s="114" customFormat="1">
      <c r="A48" s="231"/>
      <c r="B48" s="229"/>
      <c r="C48" s="241" t="str">
        <f t="shared" si="0"/>
        <v/>
      </c>
    </row>
    <row r="49" spans="1:3" s="114" customFormat="1">
      <c r="A49" s="231"/>
      <c r="B49" s="229"/>
      <c r="C49" s="241" t="str">
        <f t="shared" si="0"/>
        <v/>
      </c>
    </row>
    <row r="50" spans="1:3" s="114" customFormat="1">
      <c r="A50" s="231"/>
      <c r="B50" s="229"/>
      <c r="C50" s="241" t="str">
        <f t="shared" si="0"/>
        <v/>
      </c>
    </row>
    <row r="51" spans="1:3" s="114" customFormat="1">
      <c r="A51" s="231"/>
      <c r="B51" s="229"/>
      <c r="C51" s="241" t="str">
        <f t="shared" si="0"/>
        <v/>
      </c>
    </row>
    <row r="52" spans="1:3" s="114" customFormat="1">
      <c r="A52" s="231"/>
      <c r="B52" s="229"/>
      <c r="C52" s="241" t="str">
        <f t="shared" si="0"/>
        <v/>
      </c>
    </row>
    <row r="53" spans="1:3" s="114" customFormat="1">
      <c r="A53" s="231"/>
      <c r="B53" s="229"/>
      <c r="C53" s="241" t="str">
        <f t="shared" si="0"/>
        <v/>
      </c>
    </row>
    <row r="54" spans="1:3" s="114" customFormat="1">
      <c r="A54" s="231"/>
      <c r="B54" s="229"/>
      <c r="C54" s="241" t="str">
        <f t="shared" si="0"/>
        <v/>
      </c>
    </row>
    <row r="55" spans="1:3" s="114" customFormat="1">
      <c r="A55" s="231"/>
      <c r="B55" s="229"/>
      <c r="C55" s="241" t="str">
        <f t="shared" si="0"/>
        <v/>
      </c>
    </row>
    <row r="56" spans="1:3" s="114" customFormat="1">
      <c r="A56" s="231"/>
      <c r="B56" s="229"/>
      <c r="C56" s="241" t="str">
        <f t="shared" si="0"/>
        <v/>
      </c>
    </row>
    <row r="57" spans="1:3" s="114" customFormat="1">
      <c r="A57" s="231"/>
      <c r="B57" s="229"/>
      <c r="C57" s="241" t="str">
        <f t="shared" si="0"/>
        <v/>
      </c>
    </row>
    <row r="58" spans="1:3" s="114" customFormat="1">
      <c r="A58" s="231"/>
      <c r="B58" s="229"/>
      <c r="C58" s="241" t="str">
        <f t="shared" si="0"/>
        <v/>
      </c>
    </row>
    <row r="59" spans="1:3" s="114" customFormat="1">
      <c r="A59" s="231"/>
      <c r="B59" s="229"/>
      <c r="C59" s="241" t="str">
        <f t="shared" si="0"/>
        <v/>
      </c>
    </row>
    <row r="60" spans="1:3" s="114" customFormat="1">
      <c r="A60" s="231"/>
      <c r="B60" s="229"/>
      <c r="C60" s="241" t="str">
        <f t="shared" si="0"/>
        <v/>
      </c>
    </row>
    <row r="61" spans="1:3" s="114" customFormat="1">
      <c r="A61" s="231"/>
      <c r="B61" s="229"/>
      <c r="C61" s="241" t="str">
        <f t="shared" si="0"/>
        <v/>
      </c>
    </row>
    <row r="62" spans="1:3" s="114" customFormat="1">
      <c r="A62" s="231"/>
      <c r="B62" s="229"/>
      <c r="C62" s="241" t="str">
        <f t="shared" si="0"/>
        <v/>
      </c>
    </row>
    <row r="63" spans="1:3" s="114" customFormat="1">
      <c r="A63" s="231"/>
      <c r="B63" s="229"/>
      <c r="C63" s="241" t="str">
        <f t="shared" si="0"/>
        <v/>
      </c>
    </row>
    <row r="64" spans="1:3" s="114" customFormat="1">
      <c r="A64" s="231"/>
      <c r="B64" s="229"/>
      <c r="C64" s="241" t="str">
        <f t="shared" si="0"/>
        <v/>
      </c>
    </row>
    <row r="65" spans="1:3" s="114" customFormat="1">
      <c r="A65" s="231"/>
      <c r="B65" s="229"/>
      <c r="C65" s="241" t="str">
        <f t="shared" si="0"/>
        <v/>
      </c>
    </row>
    <row r="66" spans="1:3" s="114" customFormat="1">
      <c r="A66" s="231"/>
      <c r="B66" s="229"/>
      <c r="C66" s="241" t="str">
        <f t="shared" si="0"/>
        <v/>
      </c>
    </row>
    <row r="67" spans="1:3" s="114" customFormat="1">
      <c r="A67" s="231"/>
      <c r="B67" s="229"/>
      <c r="C67" s="241" t="str">
        <f t="shared" si="0"/>
        <v/>
      </c>
    </row>
    <row r="68" spans="1:3" s="114" customFormat="1">
      <c r="A68" s="231"/>
      <c r="B68" s="229"/>
      <c r="C68" s="241" t="str">
        <f t="shared" si="0"/>
        <v/>
      </c>
    </row>
    <row r="69" spans="1:3" s="114" customFormat="1">
      <c r="A69" s="231"/>
      <c r="B69" s="229"/>
      <c r="C69" s="241" t="str">
        <f t="shared" si="0"/>
        <v/>
      </c>
    </row>
    <row r="70" spans="1:3" s="114" customFormat="1">
      <c r="A70" s="231"/>
      <c r="B70" s="229"/>
      <c r="C70" s="241" t="str">
        <f t="shared" ref="C70:C129" si="1">IF($B70&gt;0,$B70/$B$4,"")</f>
        <v/>
      </c>
    </row>
    <row r="71" spans="1:3" s="114" customFormat="1">
      <c r="A71" s="231"/>
      <c r="B71" s="229"/>
      <c r="C71" s="241" t="str">
        <f t="shared" si="1"/>
        <v/>
      </c>
    </row>
    <row r="72" spans="1:3" s="114" customFormat="1">
      <c r="A72" s="231"/>
      <c r="B72" s="229"/>
      <c r="C72" s="241" t="str">
        <f t="shared" si="1"/>
        <v/>
      </c>
    </row>
    <row r="73" spans="1:3" s="114" customFormat="1">
      <c r="A73" s="231"/>
      <c r="B73" s="229"/>
      <c r="C73" s="241" t="str">
        <f t="shared" si="1"/>
        <v/>
      </c>
    </row>
    <row r="74" spans="1:3" s="114" customFormat="1">
      <c r="A74" s="231"/>
      <c r="B74" s="229"/>
      <c r="C74" s="241" t="str">
        <f t="shared" si="1"/>
        <v/>
      </c>
    </row>
    <row r="75" spans="1:3" s="114" customFormat="1">
      <c r="A75" s="231"/>
      <c r="B75" s="229"/>
      <c r="C75" s="241" t="str">
        <f t="shared" si="1"/>
        <v/>
      </c>
    </row>
    <row r="76" spans="1:3" s="114" customFormat="1">
      <c r="A76" s="231"/>
      <c r="B76" s="229"/>
      <c r="C76" s="241" t="str">
        <f t="shared" si="1"/>
        <v/>
      </c>
    </row>
    <row r="77" spans="1:3" s="114" customFormat="1">
      <c r="A77" s="231"/>
      <c r="B77" s="229"/>
      <c r="C77" s="241" t="str">
        <f t="shared" si="1"/>
        <v/>
      </c>
    </row>
    <row r="78" spans="1:3" s="114" customFormat="1">
      <c r="A78" s="231"/>
      <c r="B78" s="229"/>
      <c r="C78" s="241" t="str">
        <f t="shared" si="1"/>
        <v/>
      </c>
    </row>
    <row r="79" spans="1:3" s="114" customFormat="1">
      <c r="A79" s="231"/>
      <c r="B79" s="229"/>
      <c r="C79" s="241" t="str">
        <f t="shared" si="1"/>
        <v/>
      </c>
    </row>
    <row r="80" spans="1:3" s="114" customFormat="1">
      <c r="A80" s="231"/>
      <c r="B80" s="229"/>
      <c r="C80" s="241" t="str">
        <f t="shared" si="1"/>
        <v/>
      </c>
    </row>
    <row r="81" spans="1:3" s="114" customFormat="1">
      <c r="A81" s="231"/>
      <c r="B81" s="229"/>
      <c r="C81" s="241" t="str">
        <f t="shared" si="1"/>
        <v/>
      </c>
    </row>
    <row r="82" spans="1:3" s="114" customFormat="1">
      <c r="A82" s="231"/>
      <c r="B82" s="229"/>
      <c r="C82" s="241" t="str">
        <f t="shared" si="1"/>
        <v/>
      </c>
    </row>
    <row r="83" spans="1:3" s="114" customFormat="1">
      <c r="A83" s="231"/>
      <c r="B83" s="229"/>
      <c r="C83" s="241" t="str">
        <f t="shared" si="1"/>
        <v/>
      </c>
    </row>
    <row r="84" spans="1:3" s="114" customFormat="1">
      <c r="A84" s="231"/>
      <c r="B84" s="229"/>
      <c r="C84" s="241" t="str">
        <f t="shared" si="1"/>
        <v/>
      </c>
    </row>
    <row r="85" spans="1:3" s="114" customFormat="1">
      <c r="A85" s="231"/>
      <c r="B85" s="229"/>
      <c r="C85" s="241" t="str">
        <f t="shared" si="1"/>
        <v/>
      </c>
    </row>
    <row r="86" spans="1:3" s="114" customFormat="1">
      <c r="A86" s="231"/>
      <c r="B86" s="229"/>
      <c r="C86" s="241" t="str">
        <f t="shared" si="1"/>
        <v/>
      </c>
    </row>
    <row r="87" spans="1:3" s="114" customFormat="1">
      <c r="A87" s="231"/>
      <c r="B87" s="229"/>
      <c r="C87" s="241" t="str">
        <f t="shared" si="1"/>
        <v/>
      </c>
    </row>
    <row r="88" spans="1:3" s="114" customFormat="1">
      <c r="A88" s="231"/>
      <c r="B88" s="229"/>
      <c r="C88" s="241" t="str">
        <f t="shared" si="1"/>
        <v/>
      </c>
    </row>
    <row r="89" spans="1:3" s="114" customFormat="1">
      <c r="A89" s="231"/>
      <c r="B89" s="229"/>
      <c r="C89" s="241" t="str">
        <f t="shared" si="1"/>
        <v/>
      </c>
    </row>
    <row r="90" spans="1:3" s="114" customFormat="1">
      <c r="A90" s="231"/>
      <c r="B90" s="229"/>
      <c r="C90" s="241" t="str">
        <f t="shared" si="1"/>
        <v/>
      </c>
    </row>
    <row r="91" spans="1:3" s="114" customFormat="1">
      <c r="A91" s="231"/>
      <c r="B91" s="229"/>
      <c r="C91" s="241" t="str">
        <f t="shared" si="1"/>
        <v/>
      </c>
    </row>
    <row r="92" spans="1:3" s="114" customFormat="1">
      <c r="A92" s="231"/>
      <c r="B92" s="229"/>
      <c r="C92" s="241" t="str">
        <f t="shared" si="1"/>
        <v/>
      </c>
    </row>
    <row r="93" spans="1:3" s="114" customFormat="1">
      <c r="A93" s="231"/>
      <c r="B93" s="229"/>
      <c r="C93" s="241" t="str">
        <f t="shared" si="1"/>
        <v/>
      </c>
    </row>
    <row r="94" spans="1:3" s="114" customFormat="1">
      <c r="A94" s="231"/>
      <c r="B94" s="229"/>
      <c r="C94" s="241" t="str">
        <f t="shared" si="1"/>
        <v/>
      </c>
    </row>
    <row r="95" spans="1:3" s="114" customFormat="1">
      <c r="A95" s="231"/>
      <c r="B95" s="229"/>
      <c r="C95" s="241" t="str">
        <f t="shared" si="1"/>
        <v/>
      </c>
    </row>
    <row r="96" spans="1:3" s="114" customFormat="1">
      <c r="A96" s="231"/>
      <c r="B96" s="229"/>
      <c r="C96" s="241" t="str">
        <f t="shared" si="1"/>
        <v/>
      </c>
    </row>
    <row r="97" spans="1:3" s="114" customFormat="1">
      <c r="A97" s="231"/>
      <c r="B97" s="229"/>
      <c r="C97" s="241" t="str">
        <f t="shared" si="1"/>
        <v/>
      </c>
    </row>
    <row r="98" spans="1:3" s="114" customFormat="1">
      <c r="A98" s="231"/>
      <c r="B98" s="229"/>
      <c r="C98" s="241" t="str">
        <f t="shared" si="1"/>
        <v/>
      </c>
    </row>
    <row r="99" spans="1:3" s="114" customFormat="1">
      <c r="A99" s="231"/>
      <c r="B99" s="229"/>
      <c r="C99" s="241" t="str">
        <f t="shared" si="1"/>
        <v/>
      </c>
    </row>
    <row r="100" spans="1:3" s="114" customFormat="1">
      <c r="A100" s="231"/>
      <c r="B100" s="229"/>
      <c r="C100" s="241" t="str">
        <f t="shared" si="1"/>
        <v/>
      </c>
    </row>
    <row r="101" spans="1:3" s="114" customFormat="1">
      <c r="A101" s="231"/>
      <c r="B101" s="229"/>
      <c r="C101" s="241" t="str">
        <f t="shared" si="1"/>
        <v/>
      </c>
    </row>
    <row r="102" spans="1:3" s="114" customFormat="1">
      <c r="A102" s="231"/>
      <c r="B102" s="229"/>
      <c r="C102" s="241" t="str">
        <f t="shared" si="1"/>
        <v/>
      </c>
    </row>
    <row r="103" spans="1:3" s="114" customFormat="1">
      <c r="A103" s="231"/>
      <c r="B103" s="229"/>
      <c r="C103" s="241" t="str">
        <f t="shared" si="1"/>
        <v/>
      </c>
    </row>
    <row r="104" spans="1:3" s="114" customFormat="1">
      <c r="A104" s="231"/>
      <c r="B104" s="229"/>
      <c r="C104" s="241" t="str">
        <f t="shared" si="1"/>
        <v/>
      </c>
    </row>
    <row r="105" spans="1:3" s="114" customFormat="1">
      <c r="A105" s="231"/>
      <c r="B105" s="229"/>
      <c r="C105" s="241" t="str">
        <f t="shared" si="1"/>
        <v/>
      </c>
    </row>
    <row r="106" spans="1:3" s="114" customFormat="1">
      <c r="A106" s="231"/>
      <c r="B106" s="229"/>
      <c r="C106" s="241" t="str">
        <f t="shared" si="1"/>
        <v/>
      </c>
    </row>
    <row r="107" spans="1:3" s="114" customFormat="1">
      <c r="A107" s="231"/>
      <c r="B107" s="229"/>
      <c r="C107" s="241" t="str">
        <f t="shared" si="1"/>
        <v/>
      </c>
    </row>
    <row r="108" spans="1:3" s="114" customFormat="1">
      <c r="A108" s="231"/>
      <c r="B108" s="229"/>
      <c r="C108" s="241" t="str">
        <f t="shared" si="1"/>
        <v/>
      </c>
    </row>
    <row r="109" spans="1:3" s="114" customFormat="1">
      <c r="A109" s="231"/>
      <c r="B109" s="229"/>
      <c r="C109" s="241" t="str">
        <f t="shared" si="1"/>
        <v/>
      </c>
    </row>
    <row r="110" spans="1:3" s="114" customFormat="1">
      <c r="A110" s="231"/>
      <c r="B110" s="229"/>
      <c r="C110" s="241" t="str">
        <f t="shared" si="1"/>
        <v/>
      </c>
    </row>
    <row r="111" spans="1:3" s="114" customFormat="1">
      <c r="A111" s="231"/>
      <c r="B111" s="229"/>
      <c r="C111" s="241" t="str">
        <f t="shared" si="1"/>
        <v/>
      </c>
    </row>
    <row r="112" spans="1:3" s="114" customFormat="1">
      <c r="A112" s="231"/>
      <c r="B112" s="229"/>
      <c r="C112" s="241" t="str">
        <f t="shared" si="1"/>
        <v/>
      </c>
    </row>
    <row r="113" spans="1:3" s="114" customFormat="1">
      <c r="A113" s="231"/>
      <c r="B113" s="229"/>
      <c r="C113" s="241" t="str">
        <f t="shared" si="1"/>
        <v/>
      </c>
    </row>
    <row r="114" spans="1:3" s="114" customFormat="1">
      <c r="A114" s="231"/>
      <c r="B114" s="229"/>
      <c r="C114" s="241" t="str">
        <f t="shared" si="1"/>
        <v/>
      </c>
    </row>
    <row r="115" spans="1:3" s="114" customFormat="1">
      <c r="A115" s="231"/>
      <c r="B115" s="229"/>
      <c r="C115" s="241" t="str">
        <f t="shared" si="1"/>
        <v/>
      </c>
    </row>
    <row r="116" spans="1:3" s="114" customFormat="1">
      <c r="A116" s="231"/>
      <c r="B116" s="229"/>
      <c r="C116" s="241" t="str">
        <f t="shared" si="1"/>
        <v/>
      </c>
    </row>
    <row r="117" spans="1:3" s="114" customFormat="1">
      <c r="A117" s="231"/>
      <c r="B117" s="229"/>
      <c r="C117" s="241" t="str">
        <f t="shared" si="1"/>
        <v/>
      </c>
    </row>
    <row r="118" spans="1:3" s="114" customFormat="1">
      <c r="A118" s="231"/>
      <c r="B118" s="229"/>
      <c r="C118" s="241" t="str">
        <f t="shared" si="1"/>
        <v/>
      </c>
    </row>
    <row r="119" spans="1:3" s="114" customFormat="1">
      <c r="A119" s="231"/>
      <c r="B119" s="229"/>
      <c r="C119" s="241" t="str">
        <f t="shared" si="1"/>
        <v/>
      </c>
    </row>
    <row r="120" spans="1:3" s="114" customFormat="1">
      <c r="A120" s="231"/>
      <c r="B120" s="229"/>
      <c r="C120" s="241" t="str">
        <f t="shared" si="1"/>
        <v/>
      </c>
    </row>
    <row r="121" spans="1:3" s="114" customFormat="1">
      <c r="A121" s="231"/>
      <c r="B121" s="229"/>
      <c r="C121" s="241" t="str">
        <f t="shared" si="1"/>
        <v/>
      </c>
    </row>
    <row r="122" spans="1:3" s="114" customFormat="1">
      <c r="A122" s="231"/>
      <c r="B122" s="229"/>
      <c r="C122" s="241" t="str">
        <f t="shared" si="1"/>
        <v/>
      </c>
    </row>
    <row r="123" spans="1:3" s="114" customFormat="1">
      <c r="A123" s="231"/>
      <c r="B123" s="229"/>
      <c r="C123" s="241" t="str">
        <f t="shared" si="1"/>
        <v/>
      </c>
    </row>
    <row r="124" spans="1:3" s="114" customFormat="1">
      <c r="A124" s="231"/>
      <c r="B124" s="229"/>
      <c r="C124" s="241" t="str">
        <f t="shared" si="1"/>
        <v/>
      </c>
    </row>
    <row r="125" spans="1:3" s="114" customFormat="1">
      <c r="A125" s="231"/>
      <c r="B125" s="229"/>
      <c r="C125" s="241" t="str">
        <f t="shared" si="1"/>
        <v/>
      </c>
    </row>
    <row r="126" spans="1:3" s="114" customFormat="1">
      <c r="A126" s="231"/>
      <c r="B126" s="229"/>
      <c r="C126" s="241" t="str">
        <f t="shared" si="1"/>
        <v/>
      </c>
    </row>
    <row r="127" spans="1:3" s="114" customFormat="1">
      <c r="A127" s="231"/>
      <c r="B127" s="229"/>
      <c r="C127" s="241" t="str">
        <f t="shared" si="1"/>
        <v/>
      </c>
    </row>
    <row r="128" spans="1:3" s="114" customFormat="1">
      <c r="A128" s="231"/>
      <c r="B128" s="229"/>
      <c r="C128" s="241" t="str">
        <f t="shared" si="1"/>
        <v/>
      </c>
    </row>
    <row r="129" spans="1:3" s="114" customFormat="1" ht="15.75" thickBot="1">
      <c r="A129" s="232"/>
      <c r="B129" s="230"/>
      <c r="C129" s="242" t="str">
        <f t="shared" si="1"/>
        <v/>
      </c>
    </row>
    <row r="130" spans="1:3">
      <c r="A130" s="243"/>
      <c r="B130" s="244"/>
    </row>
  </sheetData>
  <sheetProtection password="DD3D" sheet="1" objects="1" scenarios="1"/>
  <conditionalFormatting sqref="C5:C1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{BA34ADEF-98A8-4637-ACA5-52BA54F97853}</x14:id>
        </ext>
      </extLst>
    </cfRule>
  </conditionalFormatting>
  <dataValidations count="1">
    <dataValidation type="list" allowBlank="1" showInputMessage="1" showErrorMessage="1" sqref="C2">
      <formula1>"Active Only,All"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btnRefreshTimeDispersion">
          <controlPr defaultSize="0" autoLine="0" autoPict="0" r:id="rId5">
            <anchor moveWithCells="1">
              <from>
                <xdr:col>0</xdr:col>
                <xdr:colOff>200025</xdr:colOff>
                <xdr:row>1</xdr:row>
                <xdr:rowOff>47625</xdr:rowOff>
              </from>
              <to>
                <xdr:col>0</xdr:col>
                <xdr:colOff>1019175</xdr:colOff>
                <xdr:row>2</xdr:row>
                <xdr:rowOff>152400</xdr:rowOff>
              </to>
            </anchor>
          </controlPr>
        </control>
      </mc:Choice>
      <mc:Fallback>
        <control shapeId="23553" r:id="rId4" name="btnRefreshTimeDispersion"/>
      </mc:Fallback>
    </mc:AlternateContent>
    <mc:AlternateContent xmlns:mc="http://schemas.openxmlformats.org/markup-compatibility/2006">
      <mc:Choice Requires="x14">
        <control shapeId="23555" r:id="rId6" name="btnPrintTimeDispersion">
          <controlPr defaultSize="0" autoLine="0" autoPict="0" r:id="rId7">
            <anchor moveWithCells="1">
              <from>
                <xdr:col>0</xdr:col>
                <xdr:colOff>1104900</xdr:colOff>
                <xdr:row>1</xdr:row>
                <xdr:rowOff>47625</xdr:rowOff>
              </from>
              <to>
                <xdr:col>0</xdr:col>
                <xdr:colOff>1924050</xdr:colOff>
                <xdr:row>2</xdr:row>
                <xdr:rowOff>152400</xdr:rowOff>
              </to>
            </anchor>
          </controlPr>
        </control>
      </mc:Choice>
      <mc:Fallback>
        <control shapeId="23555" r:id="rId6" name="btnPrintTimeDispersi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34ADEF-98A8-4637-ACA5-52BA54F978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C5:C129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249977111117893"/>
  </sheetPr>
  <dimension ref="B2:U288"/>
  <sheetViews>
    <sheetView workbookViewId="0">
      <selection activeCell="H24" sqref="H24"/>
    </sheetView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248"/>
    <col min="7" max="8" width="10.7109375" style="91" customWidth="1"/>
    <col min="9" max="9" width="1.7109375" style="90" customWidth="1"/>
    <col min="10" max="10" width="10.7109375" style="248" customWidth="1"/>
    <col min="11" max="12" width="10.7109375" style="91" customWidth="1"/>
    <col min="13" max="13" width="1.7109375" style="90" customWidth="1"/>
    <col min="14" max="14" width="10.7109375" style="248" customWidth="1"/>
    <col min="15" max="16" width="10.7109375" style="91" customWidth="1"/>
    <col min="17" max="17" width="1.7109375" style="90" customWidth="1"/>
    <col min="18" max="18" width="10.7109375" style="248" customWidth="1"/>
    <col min="19" max="20" width="10.7109375" style="91" customWidth="1"/>
    <col min="21" max="16384" width="9.140625" style="90"/>
  </cols>
  <sheetData>
    <row r="2" spans="2:20">
      <c r="C2" s="107" t="s">
        <v>466</v>
      </c>
    </row>
    <row r="4" spans="2:20" ht="15.75" thickBot="1">
      <c r="G4" s="249"/>
    </row>
    <row r="5" spans="2:20" ht="15.75" thickBot="1">
      <c r="F5" s="339" t="s">
        <v>1</v>
      </c>
      <c r="G5" s="340"/>
      <c r="H5" s="341"/>
      <c r="I5" s="61"/>
      <c r="J5" s="339" t="s">
        <v>2</v>
      </c>
      <c r="K5" s="340"/>
      <c r="L5" s="341"/>
      <c r="M5" s="64"/>
      <c r="N5" s="339" t="s">
        <v>3</v>
      </c>
      <c r="O5" s="340"/>
      <c r="P5" s="341"/>
      <c r="Q5" s="64"/>
      <c r="R5" s="339" t="s">
        <v>4</v>
      </c>
      <c r="S5" s="340"/>
      <c r="T5" s="341"/>
    </row>
    <row r="6" spans="2:20">
      <c r="B6" s="250"/>
      <c r="C6" s="251" t="s">
        <v>5</v>
      </c>
      <c r="D6" s="252" t="s">
        <v>77</v>
      </c>
      <c r="E6" s="253"/>
      <c r="F6" s="254" t="s">
        <v>149</v>
      </c>
      <c r="G6" s="255" t="s">
        <v>14</v>
      </c>
      <c r="H6" s="256" t="s">
        <v>16</v>
      </c>
      <c r="I6" s="61"/>
      <c r="J6" s="254" t="s">
        <v>149</v>
      </c>
      <c r="K6" s="255" t="s">
        <v>14</v>
      </c>
      <c r="L6" s="256" t="s">
        <v>16</v>
      </c>
      <c r="M6" s="64"/>
      <c r="N6" s="254" t="s">
        <v>149</v>
      </c>
      <c r="O6" s="255" t="s">
        <v>14</v>
      </c>
      <c r="P6" s="256" t="s">
        <v>16</v>
      </c>
      <c r="Q6" s="64"/>
      <c r="R6" s="254" t="s">
        <v>149</v>
      </c>
      <c r="S6" s="255" t="s">
        <v>14</v>
      </c>
      <c r="T6" s="256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59" t="s">
        <v>100</v>
      </c>
      <c r="G7" s="260" t="s">
        <v>447</v>
      </c>
      <c r="H7" s="261" t="s">
        <v>15</v>
      </c>
      <c r="I7" s="61"/>
      <c r="J7" s="259" t="s">
        <v>100</v>
      </c>
      <c r="K7" s="260" t="s">
        <v>447</v>
      </c>
      <c r="L7" s="261" t="s">
        <v>15</v>
      </c>
      <c r="M7" s="64"/>
      <c r="N7" s="259" t="s">
        <v>100</v>
      </c>
      <c r="O7" s="260" t="s">
        <v>447</v>
      </c>
      <c r="P7" s="261" t="s">
        <v>15</v>
      </c>
      <c r="Q7" s="64"/>
      <c r="R7" s="259" t="s">
        <v>100</v>
      </c>
      <c r="S7" s="260" t="s">
        <v>447</v>
      </c>
      <c r="T7" s="261" t="s">
        <v>15</v>
      </c>
    </row>
    <row r="8" spans="2:20">
      <c r="B8" s="250"/>
      <c r="C8" s="54" t="s">
        <v>83</v>
      </c>
      <c r="D8" s="140">
        <v>12</v>
      </c>
      <c r="E8" s="59"/>
      <c r="F8" s="273">
        <v>10</v>
      </c>
      <c r="G8" s="282" t="s">
        <v>144</v>
      </c>
      <c r="H8" s="283" t="s">
        <v>75</v>
      </c>
      <c r="I8" s="62"/>
      <c r="J8" s="277">
        <v>20</v>
      </c>
      <c r="K8" s="288" t="s">
        <v>92</v>
      </c>
      <c r="L8" s="289" t="s">
        <v>86</v>
      </c>
      <c r="M8" s="62"/>
      <c r="N8" s="277">
        <v>10</v>
      </c>
      <c r="O8" s="288" t="s">
        <v>90</v>
      </c>
      <c r="P8" s="289" t="s">
        <v>89</v>
      </c>
      <c r="Q8" s="62"/>
      <c r="R8" s="281">
        <v>0</v>
      </c>
      <c r="S8" s="288"/>
      <c r="T8" s="289"/>
    </row>
    <row r="9" spans="2:20">
      <c r="B9" s="250"/>
      <c r="C9" s="55" t="s">
        <v>98</v>
      </c>
      <c r="D9" s="141">
        <v>11</v>
      </c>
      <c r="E9" s="59"/>
      <c r="F9" s="274">
        <v>10</v>
      </c>
      <c r="G9" s="284" t="s">
        <v>144</v>
      </c>
      <c r="H9" s="285" t="s">
        <v>75</v>
      </c>
      <c r="I9" s="62"/>
      <c r="J9" s="274">
        <v>20</v>
      </c>
      <c r="K9" s="290" t="s">
        <v>92</v>
      </c>
      <c r="L9" s="285" t="s">
        <v>86</v>
      </c>
      <c r="M9" s="62"/>
      <c r="N9" s="274">
        <v>10</v>
      </c>
      <c r="O9" s="290" t="s">
        <v>470</v>
      </c>
      <c r="P9" s="285" t="s">
        <v>85</v>
      </c>
      <c r="Q9" s="62"/>
      <c r="R9" s="274">
        <v>0</v>
      </c>
      <c r="S9" s="290"/>
      <c r="T9" s="285"/>
    </row>
    <row r="10" spans="2:20">
      <c r="B10" s="250"/>
      <c r="C10" s="54" t="s">
        <v>84</v>
      </c>
      <c r="D10" s="141">
        <v>10</v>
      </c>
      <c r="E10" s="59"/>
      <c r="F10" s="275">
        <v>10</v>
      </c>
      <c r="G10" s="284" t="s">
        <v>144</v>
      </c>
      <c r="H10" s="285" t="s">
        <v>75</v>
      </c>
      <c r="I10" s="62"/>
      <c r="J10" s="274">
        <v>20</v>
      </c>
      <c r="K10" s="290" t="s">
        <v>92</v>
      </c>
      <c r="L10" s="285" t="s">
        <v>146</v>
      </c>
      <c r="M10" s="62"/>
      <c r="N10" s="274">
        <v>10</v>
      </c>
      <c r="O10" s="290" t="s">
        <v>86</v>
      </c>
      <c r="P10" s="285" t="s">
        <v>470</v>
      </c>
      <c r="Q10" s="62"/>
      <c r="R10" s="274">
        <v>0</v>
      </c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>
        <v>10</v>
      </c>
      <c r="G11" s="284" t="s">
        <v>140</v>
      </c>
      <c r="H11" s="285" t="s">
        <v>75</v>
      </c>
      <c r="I11" s="62"/>
      <c r="J11" s="274">
        <v>20</v>
      </c>
      <c r="K11" s="290" t="s">
        <v>92</v>
      </c>
      <c r="L11" s="285" t="s">
        <v>91</v>
      </c>
      <c r="M11" s="62"/>
      <c r="N11" s="274">
        <v>10</v>
      </c>
      <c r="O11" s="290" t="s">
        <v>471</v>
      </c>
      <c r="P11" s="285" t="s">
        <v>472</v>
      </c>
      <c r="Q11" s="62"/>
      <c r="R11" s="274">
        <v>0</v>
      </c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>
        <v>10</v>
      </c>
      <c r="G12" s="284" t="s">
        <v>140</v>
      </c>
      <c r="H12" s="285" t="s">
        <v>141</v>
      </c>
      <c r="I12" s="62"/>
      <c r="J12" s="274">
        <v>20</v>
      </c>
      <c r="K12" s="290" t="s">
        <v>75</v>
      </c>
      <c r="L12" s="285" t="s">
        <v>469</v>
      </c>
      <c r="M12" s="62"/>
      <c r="N12" s="274">
        <v>0</v>
      </c>
      <c r="O12" s="290"/>
      <c r="P12" s="285"/>
      <c r="Q12" s="62"/>
      <c r="R12" s="279">
        <v>0</v>
      </c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>
        <v>10</v>
      </c>
      <c r="G13" s="284" t="s">
        <v>140</v>
      </c>
      <c r="H13" s="285" t="s">
        <v>87</v>
      </c>
      <c r="I13" s="62"/>
      <c r="J13" s="274">
        <v>10</v>
      </c>
      <c r="K13" s="290" t="s">
        <v>75</v>
      </c>
      <c r="L13" s="285" t="s">
        <v>76</v>
      </c>
      <c r="M13" s="62"/>
      <c r="N13" s="274">
        <v>0</v>
      </c>
      <c r="O13" s="290"/>
      <c r="P13" s="285"/>
      <c r="Q13" s="62"/>
      <c r="R13" s="279">
        <v>0</v>
      </c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>
        <v>10</v>
      </c>
      <c r="G14" s="284" t="s">
        <v>140</v>
      </c>
      <c r="H14" s="285" t="s">
        <v>143</v>
      </c>
      <c r="I14" s="62"/>
      <c r="J14" s="274">
        <v>10</v>
      </c>
      <c r="K14" s="290" t="s">
        <v>141</v>
      </c>
      <c r="L14" s="285" t="s">
        <v>92</v>
      </c>
      <c r="M14" s="62"/>
      <c r="N14" s="279">
        <v>0</v>
      </c>
      <c r="O14" s="291"/>
      <c r="P14" s="292"/>
      <c r="Q14" s="62"/>
      <c r="R14" s="279">
        <v>0</v>
      </c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>
        <v>20</v>
      </c>
      <c r="G15" s="284" t="s">
        <v>87</v>
      </c>
      <c r="H15" s="285" t="s">
        <v>141</v>
      </c>
      <c r="I15" s="62"/>
      <c r="J15" s="274">
        <v>0</v>
      </c>
      <c r="K15" s="290"/>
      <c r="L15" s="285"/>
      <c r="M15" s="62"/>
      <c r="N15" s="279">
        <v>0</v>
      </c>
      <c r="O15" s="291"/>
      <c r="P15" s="292"/>
      <c r="Q15" s="62"/>
      <c r="R15" s="279">
        <v>0</v>
      </c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>
        <v>15</v>
      </c>
      <c r="G16" s="284" t="s">
        <v>139</v>
      </c>
      <c r="H16" s="285" t="s">
        <v>93</v>
      </c>
      <c r="I16" s="62"/>
      <c r="J16" s="278">
        <v>0</v>
      </c>
      <c r="K16" s="291"/>
      <c r="L16" s="292"/>
      <c r="M16" s="62"/>
      <c r="N16" s="279">
        <v>0</v>
      </c>
      <c r="O16" s="291"/>
      <c r="P16" s="292"/>
      <c r="Q16" s="62"/>
      <c r="R16" s="279">
        <v>0</v>
      </c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>
        <v>0</v>
      </c>
      <c r="G17" s="284"/>
      <c r="H17" s="285"/>
      <c r="I17" s="62"/>
      <c r="J17" s="279">
        <v>0</v>
      </c>
      <c r="K17" s="291"/>
      <c r="L17" s="292"/>
      <c r="M17" s="62"/>
      <c r="N17" s="279">
        <v>0</v>
      </c>
      <c r="O17" s="291"/>
      <c r="P17" s="292"/>
      <c r="Q17" s="62"/>
      <c r="R17" s="279">
        <v>0</v>
      </c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>
        <v>0</v>
      </c>
      <c r="G18" s="286"/>
      <c r="H18" s="287"/>
      <c r="I18" s="62"/>
      <c r="J18" s="280">
        <v>0</v>
      </c>
      <c r="K18" s="293"/>
      <c r="L18" s="287"/>
      <c r="M18" s="62"/>
      <c r="N18" s="280">
        <v>0</v>
      </c>
      <c r="O18" s="293"/>
      <c r="P18" s="287"/>
      <c r="Q18" s="62"/>
      <c r="R18" s="280">
        <v>0</v>
      </c>
      <c r="S18" s="293"/>
      <c r="T18" s="287"/>
    </row>
    <row r="20" spans="2:21">
      <c r="C20" s="262"/>
      <c r="D20" s="263"/>
      <c r="E20" s="263"/>
      <c r="F20" s="264"/>
      <c r="G20" s="101"/>
      <c r="H20" s="265"/>
      <c r="I20" s="262"/>
      <c r="J20" s="266"/>
      <c r="K20" s="101"/>
      <c r="L20" s="101"/>
      <c r="M20" s="97"/>
      <c r="N20" s="264"/>
      <c r="O20" s="101"/>
      <c r="P20" s="101"/>
      <c r="Q20" s="97"/>
      <c r="R20" s="264"/>
      <c r="S20" s="101"/>
      <c r="T20" s="101"/>
      <c r="U20" s="97"/>
    </row>
    <row r="21" spans="2:21">
      <c r="C21" s="97"/>
      <c r="D21" s="62"/>
      <c r="E21" s="62"/>
      <c r="F21" s="264"/>
      <c r="G21" s="101"/>
      <c r="H21" s="101"/>
      <c r="I21" s="97"/>
      <c r="J21" s="264"/>
      <c r="K21" s="101"/>
      <c r="L21" s="101"/>
      <c r="M21" s="97"/>
      <c r="N21" s="264"/>
      <c r="O21" s="101"/>
      <c r="P21" s="101"/>
      <c r="Q21" s="97"/>
      <c r="R21" s="264"/>
      <c r="S21" s="101"/>
      <c r="T21" s="101"/>
      <c r="U21" s="97"/>
    </row>
    <row r="22" spans="2:21">
      <c r="C22" s="98"/>
      <c r="D22" s="61"/>
      <c r="E22" s="61"/>
      <c r="F22" s="264"/>
      <c r="G22" s="101"/>
      <c r="H22" s="101"/>
      <c r="I22" s="97"/>
      <c r="J22" s="264"/>
      <c r="K22" s="267"/>
      <c r="L22" s="101"/>
      <c r="M22" s="97"/>
      <c r="N22" s="264"/>
      <c r="O22" s="101"/>
      <c r="P22" s="101"/>
      <c r="Q22" s="97"/>
      <c r="R22" s="264"/>
      <c r="S22" s="101"/>
      <c r="T22" s="101"/>
      <c r="U22" s="97"/>
    </row>
    <row r="23" spans="2:21">
      <c r="C23" s="97"/>
      <c r="D23" s="62"/>
      <c r="E23" s="62"/>
      <c r="F23" s="264"/>
      <c r="G23" s="101"/>
      <c r="H23" s="101"/>
      <c r="I23" s="97"/>
      <c r="J23" s="264"/>
      <c r="K23" s="101"/>
      <c r="L23" s="101"/>
      <c r="M23" s="97"/>
      <c r="N23" s="264"/>
      <c r="O23" s="101"/>
      <c r="P23" s="101"/>
      <c r="Q23" s="97"/>
      <c r="R23" s="264"/>
      <c r="S23" s="101"/>
      <c r="T23" s="101"/>
      <c r="U23" s="97"/>
    </row>
    <row r="24" spans="2:21">
      <c r="C24" s="97"/>
      <c r="D24" s="62"/>
      <c r="E24" s="62"/>
      <c r="F24" s="264"/>
      <c r="G24" s="101"/>
      <c r="H24" s="101"/>
      <c r="I24" s="97"/>
      <c r="J24" s="264"/>
      <c r="K24" s="101"/>
      <c r="L24" s="101"/>
      <c r="M24" s="97"/>
      <c r="N24" s="264"/>
      <c r="O24" s="101"/>
      <c r="P24" s="101"/>
      <c r="Q24" s="97"/>
      <c r="R24" s="264"/>
      <c r="S24" s="101"/>
      <c r="T24" s="101"/>
      <c r="U24" s="97"/>
    </row>
    <row r="25" spans="2:21">
      <c r="C25" s="97"/>
      <c r="D25" s="62"/>
      <c r="E25" s="62"/>
      <c r="F25" s="264"/>
      <c r="G25" s="101"/>
      <c r="H25" s="101"/>
      <c r="I25" s="97"/>
      <c r="J25" s="264"/>
      <c r="K25" s="101"/>
      <c r="L25" s="101"/>
      <c r="M25" s="97"/>
      <c r="N25" s="264"/>
      <c r="O25" s="101"/>
      <c r="P25" s="101"/>
      <c r="Q25" s="97"/>
      <c r="R25" s="264"/>
      <c r="S25" s="101"/>
      <c r="T25" s="101"/>
      <c r="U25" s="97"/>
    </row>
    <row r="26" spans="2:21">
      <c r="C26" s="97"/>
      <c r="D26" s="62"/>
      <c r="E26" s="62"/>
      <c r="F26" s="264"/>
      <c r="G26" s="101"/>
      <c r="H26" s="101"/>
      <c r="I26" s="97"/>
      <c r="J26" s="264"/>
      <c r="K26" s="101"/>
      <c r="L26" s="101"/>
      <c r="M26" s="97"/>
      <c r="N26" s="264"/>
      <c r="O26" s="101"/>
      <c r="P26" s="101"/>
      <c r="Q26" s="97"/>
      <c r="R26" s="264"/>
      <c r="S26" s="101"/>
      <c r="T26" s="101"/>
      <c r="U26" s="97"/>
    </row>
    <row r="27" spans="2:21">
      <c r="C27" s="97"/>
      <c r="D27" s="62"/>
      <c r="E27" s="62"/>
      <c r="F27" s="264"/>
      <c r="G27" s="101"/>
      <c r="H27" s="101"/>
      <c r="I27" s="97"/>
      <c r="J27" s="264"/>
      <c r="K27" s="61"/>
      <c r="L27" s="61"/>
      <c r="M27" s="64"/>
      <c r="N27" s="268"/>
      <c r="O27" s="101"/>
      <c r="P27" s="101"/>
      <c r="Q27" s="97"/>
      <c r="R27" s="264"/>
      <c r="S27" s="101"/>
      <c r="T27" s="101"/>
      <c r="U27" s="97"/>
    </row>
    <row r="28" spans="2:21">
      <c r="C28" s="269"/>
      <c r="D28" s="62"/>
      <c r="E28" s="62"/>
      <c r="F28" s="264"/>
      <c r="G28" s="101"/>
      <c r="H28" s="101"/>
      <c r="I28" s="97"/>
      <c r="J28" s="264"/>
      <c r="K28" s="61"/>
      <c r="L28" s="61"/>
      <c r="M28" s="64"/>
      <c r="N28" s="268"/>
      <c r="O28" s="101"/>
      <c r="P28" s="101"/>
      <c r="Q28" s="97"/>
      <c r="R28" s="264"/>
      <c r="S28" s="101"/>
      <c r="T28" s="101"/>
      <c r="U28" s="97"/>
    </row>
    <row r="29" spans="2:21">
      <c r="C29" s="97"/>
      <c r="D29" s="62"/>
      <c r="E29" s="62"/>
      <c r="F29" s="264"/>
      <c r="G29" s="101"/>
      <c r="H29" s="101"/>
      <c r="I29" s="97"/>
      <c r="J29" s="264"/>
      <c r="K29" s="62"/>
      <c r="L29" s="62"/>
      <c r="M29" s="270"/>
      <c r="N29" s="271"/>
      <c r="O29" s="101"/>
      <c r="P29" s="101"/>
      <c r="Q29" s="97"/>
      <c r="R29" s="264"/>
      <c r="S29" s="101"/>
      <c r="T29" s="101"/>
      <c r="U29" s="97"/>
    </row>
    <row r="30" spans="2:21">
      <c r="C30" s="97"/>
      <c r="D30" s="62"/>
      <c r="E30" s="62"/>
      <c r="F30" s="264"/>
      <c r="G30" s="101"/>
      <c r="H30" s="101"/>
      <c r="I30" s="97"/>
      <c r="J30" s="264"/>
      <c r="K30" s="101"/>
      <c r="L30" s="101"/>
      <c r="M30" s="97"/>
      <c r="N30" s="264"/>
      <c r="O30" s="101"/>
      <c r="P30" s="101"/>
      <c r="Q30" s="97"/>
      <c r="R30" s="264"/>
      <c r="S30" s="101"/>
      <c r="T30" s="101"/>
      <c r="U30" s="97"/>
    </row>
    <row r="31" spans="2:21">
      <c r="C31" s="97"/>
      <c r="D31" s="62"/>
      <c r="E31" s="62"/>
      <c r="F31" s="264"/>
      <c r="G31" s="101"/>
      <c r="H31" s="101"/>
      <c r="I31" s="97"/>
      <c r="J31" s="264"/>
      <c r="K31" s="101"/>
      <c r="L31" s="101"/>
      <c r="M31" s="97"/>
      <c r="N31" s="264"/>
      <c r="O31" s="101"/>
      <c r="P31" s="101"/>
      <c r="Q31" s="97"/>
      <c r="R31" s="264"/>
      <c r="S31" s="101"/>
      <c r="T31" s="101"/>
      <c r="U31" s="97"/>
    </row>
    <row r="32" spans="2:21">
      <c r="C32" s="97"/>
      <c r="D32" s="62"/>
      <c r="E32" s="62"/>
      <c r="F32" s="264"/>
      <c r="G32" s="101"/>
      <c r="H32" s="101"/>
      <c r="I32" s="97"/>
      <c r="J32" s="264"/>
      <c r="K32" s="101"/>
      <c r="L32" s="101"/>
      <c r="M32" s="97"/>
      <c r="N32" s="264"/>
      <c r="O32" s="101"/>
      <c r="P32" s="101"/>
      <c r="Q32" s="97"/>
      <c r="R32" s="264"/>
      <c r="S32" s="101"/>
      <c r="T32" s="101"/>
      <c r="U32" s="97"/>
    </row>
    <row r="33" spans="3:21" s="90" customFormat="1">
      <c r="C33" s="97"/>
      <c r="D33" s="62"/>
      <c r="E33" s="62"/>
      <c r="F33" s="264"/>
      <c r="G33" s="101"/>
      <c r="H33" s="101"/>
      <c r="I33" s="97"/>
      <c r="J33" s="264"/>
      <c r="K33" s="272"/>
      <c r="L33" s="101"/>
      <c r="M33" s="97"/>
      <c r="N33" s="264"/>
      <c r="O33" s="101"/>
      <c r="P33" s="101"/>
      <c r="Q33" s="97"/>
      <c r="R33" s="264"/>
      <c r="S33" s="101"/>
      <c r="T33" s="101"/>
      <c r="U33" s="97"/>
    </row>
    <row r="34" spans="3:21" s="90" customFormat="1">
      <c r="C34" s="97"/>
      <c r="D34" s="62"/>
      <c r="E34" s="62"/>
      <c r="F34" s="264"/>
      <c r="G34" s="101"/>
      <c r="H34" s="101"/>
      <c r="I34" s="97"/>
      <c r="J34" s="264"/>
      <c r="K34" s="101"/>
      <c r="L34" s="101"/>
      <c r="M34" s="97"/>
      <c r="N34" s="264"/>
      <c r="O34" s="101"/>
      <c r="P34" s="101"/>
      <c r="Q34" s="97"/>
      <c r="R34" s="264"/>
      <c r="S34" s="101"/>
      <c r="T34" s="101"/>
      <c r="U34" s="97"/>
    </row>
    <row r="35" spans="3:21" s="90" customFormat="1">
      <c r="C35" s="97"/>
      <c r="D35" s="62"/>
      <c r="E35" s="62"/>
      <c r="F35" s="264"/>
      <c r="G35" s="101"/>
      <c r="H35" s="101"/>
      <c r="I35" s="97"/>
      <c r="J35" s="264"/>
      <c r="K35" s="101"/>
      <c r="L35" s="101"/>
      <c r="M35" s="97"/>
      <c r="N35" s="264"/>
      <c r="O35" s="101"/>
      <c r="P35" s="101"/>
      <c r="Q35" s="97"/>
      <c r="R35" s="264"/>
      <c r="S35" s="101"/>
      <c r="T35" s="101"/>
      <c r="U35" s="97"/>
    </row>
    <row r="36" spans="3:21" s="90" customFormat="1">
      <c r="C36" s="97"/>
      <c r="D36" s="62"/>
      <c r="E36" s="62"/>
      <c r="F36" s="264"/>
      <c r="G36" s="101"/>
      <c r="H36" s="101"/>
      <c r="I36" s="97"/>
      <c r="J36" s="264"/>
      <c r="K36" s="101"/>
      <c r="L36" s="101"/>
      <c r="M36" s="97"/>
      <c r="N36" s="264"/>
      <c r="O36" s="101"/>
      <c r="P36" s="101"/>
      <c r="Q36" s="97"/>
      <c r="R36" s="264"/>
      <c r="S36" s="101"/>
      <c r="T36" s="101"/>
      <c r="U36" s="97"/>
    </row>
    <row r="37" spans="3:21" s="90" customFormat="1">
      <c r="C37" s="97"/>
      <c r="D37" s="62"/>
      <c r="E37" s="62"/>
      <c r="F37" s="264"/>
      <c r="G37" s="101"/>
      <c r="H37" s="101"/>
      <c r="I37" s="97"/>
      <c r="J37" s="264"/>
      <c r="K37" s="101"/>
      <c r="L37" s="101"/>
      <c r="M37" s="97"/>
      <c r="N37" s="264"/>
      <c r="O37" s="101"/>
      <c r="P37" s="101"/>
      <c r="Q37" s="97"/>
      <c r="R37" s="264"/>
      <c r="S37" s="101"/>
      <c r="T37" s="101"/>
      <c r="U37" s="97"/>
    </row>
    <row r="38" spans="3:21" s="90" customFormat="1">
      <c r="C38" s="97"/>
      <c r="D38" s="62"/>
      <c r="E38" s="62"/>
      <c r="F38" s="264"/>
      <c r="G38" s="101"/>
      <c r="H38" s="101"/>
      <c r="I38" s="97"/>
      <c r="J38" s="264"/>
      <c r="K38" s="101"/>
      <c r="L38" s="101"/>
      <c r="M38" s="97"/>
      <c r="N38" s="264"/>
      <c r="O38" s="101"/>
      <c r="P38" s="101"/>
      <c r="Q38" s="97"/>
      <c r="R38" s="264"/>
      <c r="S38" s="101"/>
      <c r="T38" s="101"/>
      <c r="U38" s="97"/>
    </row>
    <row r="39" spans="3:21" s="90" customFormat="1">
      <c r="C39" s="97"/>
      <c r="D39" s="62"/>
      <c r="E39" s="62"/>
      <c r="F39" s="264"/>
      <c r="G39" s="101"/>
      <c r="H39" s="101"/>
      <c r="I39" s="97"/>
      <c r="J39" s="264"/>
      <c r="K39" s="101"/>
      <c r="L39" s="101"/>
      <c r="M39" s="97"/>
      <c r="N39" s="264"/>
      <c r="O39" s="101"/>
      <c r="P39" s="101"/>
      <c r="Q39" s="97"/>
      <c r="R39" s="264"/>
      <c r="S39" s="101"/>
      <c r="T39" s="101"/>
      <c r="U39" s="97"/>
    </row>
    <row r="40" spans="3:21" s="90" customFormat="1">
      <c r="C40" s="97"/>
      <c r="D40" s="62"/>
      <c r="E40" s="62"/>
      <c r="F40" s="264"/>
      <c r="G40" s="101"/>
      <c r="H40" s="101"/>
      <c r="I40" s="97"/>
      <c r="J40" s="264"/>
      <c r="K40" s="101"/>
      <c r="L40" s="101"/>
      <c r="M40" s="97"/>
      <c r="N40" s="264"/>
      <c r="O40" s="101"/>
      <c r="P40" s="101"/>
      <c r="Q40" s="97"/>
      <c r="R40" s="264"/>
      <c r="S40" s="101"/>
      <c r="T40" s="101"/>
      <c r="U40" s="97"/>
    </row>
    <row r="41" spans="3:21" s="90" customFormat="1">
      <c r="D41" s="92"/>
      <c r="E41" s="92"/>
      <c r="F41" s="248"/>
      <c r="G41" s="91"/>
      <c r="H41" s="91"/>
      <c r="J41" s="248"/>
      <c r="K41" s="91"/>
      <c r="L41" s="91"/>
      <c r="N41" s="248"/>
      <c r="O41" s="91"/>
      <c r="P41" s="91"/>
      <c r="R41" s="248"/>
      <c r="S41" s="91"/>
      <c r="T41" s="91"/>
    </row>
    <row r="42" spans="3:21" s="90" customFormat="1">
      <c r="D42" s="92"/>
      <c r="E42" s="92"/>
      <c r="F42" s="248"/>
      <c r="G42" s="91"/>
      <c r="H42" s="91"/>
      <c r="J42" s="248"/>
      <c r="K42" s="91"/>
      <c r="L42" s="91"/>
      <c r="N42" s="248"/>
      <c r="O42" s="91"/>
      <c r="P42" s="91"/>
      <c r="R42" s="248"/>
      <c r="S42" s="91"/>
      <c r="T42" s="91"/>
    </row>
    <row r="43" spans="3:21" s="90" customFormat="1">
      <c r="D43" s="92"/>
      <c r="E43" s="92"/>
      <c r="F43" s="248"/>
      <c r="G43" s="91"/>
      <c r="H43" s="91"/>
      <c r="J43" s="248"/>
      <c r="K43" s="91"/>
      <c r="L43" s="91"/>
      <c r="N43" s="248"/>
      <c r="O43" s="91"/>
      <c r="P43" s="91"/>
      <c r="R43" s="248"/>
      <c r="S43" s="91"/>
      <c r="T43" s="91"/>
    </row>
    <row r="44" spans="3:21" s="90" customFormat="1">
      <c r="D44" s="92"/>
      <c r="E44" s="92"/>
      <c r="F44" s="248"/>
      <c r="G44" s="91"/>
      <c r="H44" s="91"/>
      <c r="J44" s="248"/>
      <c r="K44" s="91"/>
      <c r="L44" s="91"/>
      <c r="N44" s="248"/>
      <c r="O44" s="91"/>
      <c r="P44" s="91"/>
      <c r="R44" s="248"/>
      <c r="S44" s="91"/>
      <c r="T44" s="91"/>
    </row>
    <row r="45" spans="3:21" s="90" customFormat="1">
      <c r="D45" s="92"/>
      <c r="E45" s="92"/>
      <c r="F45" s="248"/>
      <c r="G45" s="91"/>
      <c r="H45" s="91"/>
      <c r="J45" s="248"/>
      <c r="K45" s="91"/>
      <c r="L45" s="91"/>
      <c r="N45" s="248"/>
      <c r="O45" s="91"/>
      <c r="P45" s="91"/>
      <c r="R45" s="248"/>
      <c r="S45" s="91"/>
      <c r="T45" s="91"/>
    </row>
    <row r="46" spans="3:21" s="90" customFormat="1">
      <c r="D46" s="92"/>
      <c r="E46" s="92"/>
      <c r="F46" s="248"/>
      <c r="G46" s="91"/>
      <c r="H46" s="91"/>
      <c r="J46" s="248"/>
      <c r="K46" s="91"/>
      <c r="L46" s="91"/>
      <c r="N46" s="248"/>
      <c r="O46" s="91"/>
      <c r="P46" s="91"/>
      <c r="R46" s="248"/>
      <c r="S46" s="91"/>
      <c r="T46" s="91"/>
    </row>
    <row r="47" spans="3:21" s="90" customFormat="1">
      <c r="D47" s="92"/>
      <c r="E47" s="92"/>
      <c r="F47" s="248"/>
      <c r="G47" s="91"/>
      <c r="H47" s="91"/>
      <c r="J47" s="248"/>
      <c r="K47" s="91"/>
      <c r="L47" s="91"/>
      <c r="N47" s="248"/>
      <c r="O47" s="91"/>
      <c r="P47" s="91"/>
      <c r="R47" s="248"/>
      <c r="S47" s="91"/>
      <c r="T47" s="91"/>
    </row>
    <row r="48" spans="3:21" s="90" customFormat="1">
      <c r="D48" s="92"/>
      <c r="E48" s="92"/>
      <c r="F48" s="248"/>
      <c r="G48" s="91"/>
      <c r="H48" s="91"/>
      <c r="J48" s="248"/>
      <c r="K48" s="91"/>
      <c r="L48" s="91"/>
      <c r="N48" s="248"/>
      <c r="O48" s="91"/>
      <c r="P48" s="91"/>
      <c r="R48" s="248"/>
      <c r="S48" s="91"/>
      <c r="T48" s="91"/>
    </row>
    <row r="49" s="90" customFormat="1"/>
    <row r="50" s="90" customFormat="1"/>
    <row r="51" s="90" customFormat="1"/>
    <row r="52" s="90" customFormat="1"/>
    <row r="53" s="90" customFormat="1"/>
    <row r="54" s="90" customFormat="1"/>
    <row r="55" s="90" customFormat="1"/>
    <row r="56" s="90" customFormat="1"/>
    <row r="57" s="90" customFormat="1"/>
    <row r="58" s="90" customFormat="1"/>
    <row r="59" s="90" customFormat="1"/>
    <row r="60" s="90" customFormat="1"/>
    <row r="61" s="90" customFormat="1"/>
    <row r="62" s="90" customFormat="1"/>
    <row r="63" s="90" customFormat="1"/>
    <row r="64" s="90" customFormat="1"/>
    <row r="65" s="90" customFormat="1"/>
    <row r="66" s="90" customFormat="1"/>
    <row r="67" s="90" customFormat="1"/>
    <row r="68" s="90" customFormat="1"/>
    <row r="69" s="90" customFormat="1"/>
    <row r="70" s="90" customFormat="1"/>
    <row r="71" s="90" customFormat="1"/>
    <row r="72" s="90" customFormat="1"/>
    <row r="73" s="90" customFormat="1"/>
    <row r="74" s="90" customFormat="1"/>
    <row r="75" s="90" customFormat="1"/>
    <row r="76" s="90" customFormat="1"/>
    <row r="77" s="90" customFormat="1"/>
    <row r="78" s="90" customFormat="1"/>
    <row r="79" s="90" customFormat="1"/>
    <row r="80" s="90" customFormat="1"/>
    <row r="81" s="90" customFormat="1"/>
    <row r="82" s="90" customFormat="1"/>
    <row r="83" s="90" customFormat="1"/>
    <row r="84" s="90" customFormat="1"/>
    <row r="85" s="90" customFormat="1"/>
    <row r="86" s="90" customFormat="1"/>
    <row r="87" s="90" customFormat="1"/>
    <row r="88" s="90" customFormat="1"/>
    <row r="89" s="90" customFormat="1"/>
    <row r="90" s="90" customFormat="1"/>
    <row r="91" s="90" customFormat="1"/>
    <row r="92" s="90" customFormat="1"/>
    <row r="93" s="90" customFormat="1"/>
    <row r="94" s="90" customFormat="1"/>
    <row r="95" s="90" customFormat="1"/>
    <row r="96" s="90" customFormat="1"/>
    <row r="97" s="90" customFormat="1"/>
    <row r="98" s="90" customFormat="1"/>
    <row r="99" s="90" customFormat="1"/>
    <row r="100" s="90" customFormat="1"/>
    <row r="101" s="90" customFormat="1"/>
    <row r="102" s="90" customFormat="1"/>
    <row r="103" s="90" customFormat="1"/>
    <row r="104" s="90" customFormat="1"/>
    <row r="105" s="90" customFormat="1"/>
    <row r="106" s="90" customFormat="1"/>
    <row r="107" s="90" customFormat="1"/>
    <row r="108" s="90" customFormat="1"/>
    <row r="109" s="90" customFormat="1"/>
    <row r="110" s="90" customFormat="1"/>
    <row r="111" s="90" customFormat="1"/>
    <row r="112" s="90" customFormat="1"/>
    <row r="113" s="90" customFormat="1"/>
    <row r="114" s="90" customFormat="1"/>
    <row r="115" s="90" customFormat="1"/>
    <row r="116" s="90" customFormat="1"/>
    <row r="117" s="90" customFormat="1"/>
    <row r="118" s="90" customFormat="1"/>
    <row r="119" s="90" customFormat="1"/>
    <row r="120" s="90" customFormat="1"/>
    <row r="121" s="90" customFormat="1"/>
    <row r="122" s="90" customFormat="1"/>
    <row r="123" s="90" customFormat="1"/>
    <row r="124" s="90" customFormat="1"/>
    <row r="125" s="90" customFormat="1"/>
    <row r="126" s="90" customFormat="1"/>
    <row r="127" s="90" customFormat="1"/>
    <row r="128" s="90" customFormat="1"/>
    <row r="129" s="90" customFormat="1"/>
    <row r="130" s="90" customFormat="1"/>
    <row r="131" s="90" customFormat="1"/>
    <row r="132" s="90" customFormat="1"/>
    <row r="133" s="90" customFormat="1"/>
    <row r="134" s="90" customFormat="1"/>
    <row r="135" s="90" customFormat="1"/>
    <row r="136" s="90" customFormat="1"/>
    <row r="137" s="90" customFormat="1"/>
    <row r="138" s="90" customFormat="1"/>
    <row r="139" s="90" customFormat="1"/>
    <row r="140" s="90" customFormat="1"/>
    <row r="141" s="90" customFormat="1"/>
    <row r="142" s="90" customFormat="1"/>
    <row r="143" s="90" customFormat="1"/>
    <row r="144" s="90" customFormat="1"/>
    <row r="145" s="90" customFormat="1"/>
    <row r="146" s="90" customFormat="1"/>
    <row r="147" s="90" customFormat="1"/>
    <row r="148" s="90" customFormat="1"/>
    <row r="149" s="90" customFormat="1"/>
    <row r="150" s="90" customFormat="1"/>
    <row r="151" s="90" customFormat="1"/>
    <row r="152" s="90" customFormat="1"/>
    <row r="153" s="90" customFormat="1"/>
    <row r="154" s="90" customFormat="1"/>
    <row r="155" s="90" customFormat="1"/>
    <row r="156" s="90" customFormat="1"/>
    <row r="157" s="90" customFormat="1"/>
    <row r="158" s="90" customFormat="1"/>
    <row r="159" s="90" customFormat="1"/>
    <row r="160" s="90" customFormat="1"/>
    <row r="161" s="90" customFormat="1"/>
    <row r="162" s="90" customFormat="1"/>
    <row r="163" s="90" customFormat="1"/>
    <row r="164" s="90" customFormat="1"/>
    <row r="165" s="90" customFormat="1"/>
    <row r="166" s="90" customFormat="1"/>
    <row r="167" s="90" customFormat="1"/>
    <row r="168" s="90" customFormat="1"/>
    <row r="169" s="90" customFormat="1"/>
    <row r="170" s="90" customFormat="1"/>
    <row r="171" s="90" customFormat="1"/>
    <row r="172" s="90" customFormat="1"/>
    <row r="173" s="90" customFormat="1"/>
    <row r="174" s="90" customFormat="1"/>
    <row r="175" s="90" customFormat="1"/>
    <row r="176" s="90" customFormat="1"/>
    <row r="177" s="90" customFormat="1"/>
    <row r="178" s="90" customFormat="1"/>
    <row r="179" s="90" customFormat="1"/>
    <row r="180" s="90" customFormat="1"/>
    <row r="181" s="90" customFormat="1"/>
    <row r="182" s="90" customFormat="1"/>
    <row r="183" s="90" customFormat="1"/>
    <row r="184" s="90" customFormat="1"/>
    <row r="185" s="90" customFormat="1"/>
    <row r="186" s="90" customFormat="1"/>
    <row r="187" s="90" customFormat="1"/>
    <row r="188" s="90" customFormat="1"/>
    <row r="189" s="90" customFormat="1"/>
    <row r="190" s="90" customFormat="1"/>
    <row r="191" s="90" customFormat="1"/>
    <row r="192" s="90" customFormat="1"/>
    <row r="193" s="90" customFormat="1"/>
    <row r="194" s="90" customFormat="1"/>
    <row r="195" s="90" customFormat="1"/>
    <row r="196" s="90" customFormat="1"/>
    <row r="197" s="90" customFormat="1"/>
    <row r="198" s="90" customFormat="1"/>
    <row r="199" s="90" customFormat="1"/>
    <row r="200" s="90" customFormat="1"/>
    <row r="201" s="90" customFormat="1"/>
    <row r="202" s="90" customFormat="1"/>
    <row r="203" s="90" customFormat="1"/>
    <row r="204" s="90" customFormat="1"/>
    <row r="205" s="90" customFormat="1"/>
    <row r="206" s="90" customFormat="1"/>
    <row r="207" s="90" customFormat="1"/>
    <row r="208" s="90" customFormat="1"/>
    <row r="209" s="90" customFormat="1"/>
    <row r="210" s="90" customFormat="1"/>
    <row r="211" s="90" customFormat="1"/>
    <row r="212" s="90" customFormat="1"/>
    <row r="213" s="90" customFormat="1"/>
    <row r="214" s="90" customFormat="1"/>
    <row r="215" s="90" customFormat="1"/>
    <row r="216" s="90" customFormat="1"/>
    <row r="217" s="90" customFormat="1"/>
    <row r="218" s="90" customFormat="1"/>
    <row r="219" s="90" customFormat="1"/>
    <row r="220" s="90" customFormat="1"/>
    <row r="221" s="90" customFormat="1"/>
    <row r="222" s="90" customFormat="1"/>
    <row r="223" s="90" customFormat="1"/>
    <row r="224" s="90" customFormat="1"/>
    <row r="225" s="90" customFormat="1"/>
    <row r="226" s="90" customFormat="1"/>
    <row r="227" s="90" customFormat="1"/>
    <row r="228" s="90" customFormat="1"/>
    <row r="229" s="90" customFormat="1"/>
    <row r="230" s="90" customFormat="1"/>
    <row r="231" s="90" customFormat="1"/>
    <row r="232" s="90" customFormat="1"/>
    <row r="233" s="90" customFormat="1"/>
    <row r="234" s="90" customFormat="1"/>
    <row r="235" s="90" customFormat="1"/>
    <row r="236" s="90" customFormat="1"/>
    <row r="237" s="90" customFormat="1"/>
    <row r="238" s="90" customFormat="1"/>
    <row r="239" s="90" customFormat="1"/>
    <row r="240" s="90" customFormat="1"/>
    <row r="241" s="90" customFormat="1"/>
    <row r="242" s="90" customFormat="1"/>
    <row r="243" s="90" customFormat="1"/>
    <row r="244" s="90" customFormat="1"/>
    <row r="245" s="90" customFormat="1"/>
    <row r="246" s="90" customFormat="1"/>
    <row r="247" s="90" customFormat="1"/>
    <row r="248" s="90" customFormat="1"/>
    <row r="249" s="90" customFormat="1"/>
    <row r="250" s="90" customFormat="1"/>
    <row r="251" s="90" customFormat="1"/>
    <row r="252" s="90" customFormat="1"/>
    <row r="253" s="90" customFormat="1"/>
    <row r="254" s="90" customFormat="1"/>
    <row r="255" s="90" customFormat="1"/>
    <row r="256" s="90" customFormat="1"/>
    <row r="257" s="90" customFormat="1"/>
    <row r="258" s="90" customFormat="1"/>
    <row r="259" s="90" customFormat="1"/>
    <row r="260" s="90" customFormat="1"/>
    <row r="261" s="90" customFormat="1"/>
    <row r="262" s="90" customFormat="1"/>
    <row r="263" s="90" customFormat="1"/>
    <row r="264" s="90" customFormat="1"/>
    <row r="265" s="90" customFormat="1"/>
    <row r="266" s="90" customFormat="1"/>
    <row r="267" s="90" customFormat="1"/>
    <row r="268" s="90" customFormat="1"/>
    <row r="269" s="90" customFormat="1"/>
    <row r="270" s="90" customFormat="1"/>
    <row r="271" s="90" customFormat="1"/>
    <row r="272" s="90" customFormat="1"/>
    <row r="273" s="90" customFormat="1"/>
    <row r="274" s="90" customFormat="1"/>
    <row r="275" s="90" customFormat="1"/>
    <row r="276" s="90" customFormat="1"/>
    <row r="277" s="90" customFormat="1"/>
    <row r="278" s="90" customFormat="1"/>
    <row r="279" s="90" customFormat="1"/>
    <row r="280" s="90" customFormat="1"/>
    <row r="281" s="90" customFormat="1"/>
    <row r="282" s="90" customFormat="1"/>
    <row r="283" s="90" customFormat="1"/>
    <row r="284" s="90" customFormat="1"/>
    <row r="285" s="90" customFormat="1"/>
    <row r="286" s="90" customFormat="1"/>
    <row r="287" s="90" customFormat="1"/>
    <row r="288" s="90" customFormat="1"/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249977111117893"/>
  </sheetPr>
  <dimension ref="B2:U40"/>
  <sheetViews>
    <sheetView workbookViewId="0">
      <selection activeCell="H24" sqref="H24"/>
    </sheetView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90"/>
    <col min="7" max="8" width="10.7109375" style="90" customWidth="1"/>
    <col min="9" max="9" width="1.7109375" style="90" customWidth="1"/>
    <col min="10" max="12" width="10.7109375" style="90" customWidth="1"/>
    <col min="13" max="13" width="1.7109375" style="90" customWidth="1"/>
    <col min="14" max="16" width="10.7109375" style="90" customWidth="1"/>
    <col min="17" max="17" width="1.7109375" style="90" customWidth="1"/>
    <col min="18" max="20" width="10.7109375" style="90" customWidth="1"/>
    <col min="21" max="16384" width="9.140625" style="90"/>
  </cols>
  <sheetData>
    <row r="2" spans="2:20">
      <c r="C2" s="107" t="s">
        <v>467</v>
      </c>
    </row>
    <row r="4" spans="2:20" ht="15.75" thickBot="1">
      <c r="G4" s="295"/>
    </row>
    <row r="5" spans="2:20" ht="15.75" thickBot="1">
      <c r="F5" s="339" t="s">
        <v>1</v>
      </c>
      <c r="G5" s="340"/>
      <c r="H5" s="341"/>
      <c r="I5" s="61"/>
      <c r="J5" s="339" t="s">
        <v>2</v>
      </c>
      <c r="K5" s="340"/>
      <c r="L5" s="341"/>
      <c r="M5" s="64"/>
      <c r="N5" s="339" t="s">
        <v>3</v>
      </c>
      <c r="O5" s="340"/>
      <c r="P5" s="341"/>
      <c r="Q5" s="64"/>
      <c r="R5" s="339" t="s">
        <v>4</v>
      </c>
      <c r="S5" s="340"/>
      <c r="T5" s="341"/>
    </row>
    <row r="6" spans="2:20">
      <c r="B6" s="250"/>
      <c r="C6" s="251" t="s">
        <v>5</v>
      </c>
      <c r="D6" s="252" t="s">
        <v>77</v>
      </c>
      <c r="E6" s="253"/>
      <c r="F6" s="296" t="s">
        <v>149</v>
      </c>
      <c r="G6" s="297" t="s">
        <v>14</v>
      </c>
      <c r="H6" s="298" t="s">
        <v>16</v>
      </c>
      <c r="I6" s="61"/>
      <c r="J6" s="296" t="s">
        <v>149</v>
      </c>
      <c r="K6" s="297" t="s">
        <v>14</v>
      </c>
      <c r="L6" s="298" t="s">
        <v>16</v>
      </c>
      <c r="M6" s="64"/>
      <c r="N6" s="296" t="s">
        <v>149</v>
      </c>
      <c r="O6" s="297" t="s">
        <v>14</v>
      </c>
      <c r="P6" s="298" t="s">
        <v>16</v>
      </c>
      <c r="Q6" s="64"/>
      <c r="R6" s="296" t="s">
        <v>149</v>
      </c>
      <c r="S6" s="297" t="s">
        <v>14</v>
      </c>
      <c r="T6" s="298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99" t="s">
        <v>100</v>
      </c>
      <c r="G7" s="300" t="s">
        <v>447</v>
      </c>
      <c r="H7" s="301" t="s">
        <v>15</v>
      </c>
      <c r="I7" s="61"/>
      <c r="J7" s="299" t="s">
        <v>100</v>
      </c>
      <c r="K7" s="300" t="s">
        <v>447</v>
      </c>
      <c r="L7" s="301" t="s">
        <v>15</v>
      </c>
      <c r="M7" s="64"/>
      <c r="N7" s="299" t="s">
        <v>100</v>
      </c>
      <c r="O7" s="300" t="s">
        <v>447</v>
      </c>
      <c r="P7" s="301" t="s">
        <v>15</v>
      </c>
      <c r="Q7" s="64"/>
      <c r="R7" s="299" t="s">
        <v>100</v>
      </c>
      <c r="S7" s="300" t="s">
        <v>447</v>
      </c>
      <c r="T7" s="301" t="s">
        <v>15</v>
      </c>
    </row>
    <row r="8" spans="2:20">
      <c r="B8" s="250"/>
      <c r="C8" s="54" t="s">
        <v>83</v>
      </c>
      <c r="D8" s="140">
        <v>12</v>
      </c>
      <c r="E8" s="59"/>
      <c r="F8" s="273">
        <v>15</v>
      </c>
      <c r="G8" s="282" t="s">
        <v>144</v>
      </c>
      <c r="H8" s="283" t="s">
        <v>93</v>
      </c>
      <c r="I8" s="62"/>
      <c r="J8" s="277">
        <v>30</v>
      </c>
      <c r="K8" s="288" t="s">
        <v>141</v>
      </c>
      <c r="L8" s="289" t="s">
        <v>142</v>
      </c>
      <c r="M8" s="62"/>
      <c r="N8" s="277">
        <v>15</v>
      </c>
      <c r="O8" s="288" t="s">
        <v>145</v>
      </c>
      <c r="P8" s="289" t="s">
        <v>146</v>
      </c>
      <c r="Q8" s="62"/>
      <c r="R8" s="281">
        <v>15</v>
      </c>
      <c r="S8" s="288" t="s">
        <v>90</v>
      </c>
      <c r="T8" s="289" t="s">
        <v>89</v>
      </c>
    </row>
    <row r="9" spans="2:20">
      <c r="B9" s="250"/>
      <c r="C9" s="55" t="s">
        <v>98</v>
      </c>
      <c r="D9" s="141">
        <v>11</v>
      </c>
      <c r="E9" s="59"/>
      <c r="F9" s="274">
        <v>15</v>
      </c>
      <c r="G9" s="284" t="s">
        <v>144</v>
      </c>
      <c r="H9" s="285" t="s">
        <v>93</v>
      </c>
      <c r="I9" s="62"/>
      <c r="J9" s="274">
        <v>20</v>
      </c>
      <c r="K9" s="290" t="s">
        <v>141</v>
      </c>
      <c r="L9" s="285" t="s">
        <v>142</v>
      </c>
      <c r="M9" s="62"/>
      <c r="N9" s="274">
        <v>15</v>
      </c>
      <c r="O9" s="290" t="s">
        <v>145</v>
      </c>
      <c r="P9" s="285" t="s">
        <v>146</v>
      </c>
      <c r="Q9" s="62"/>
      <c r="R9" s="274">
        <v>15</v>
      </c>
      <c r="S9" s="290" t="s">
        <v>147</v>
      </c>
      <c r="T9" s="285" t="s">
        <v>85</v>
      </c>
    </row>
    <row r="10" spans="2:20">
      <c r="B10" s="250"/>
      <c r="C10" s="54" t="s">
        <v>84</v>
      </c>
      <c r="D10" s="141">
        <v>10</v>
      </c>
      <c r="E10" s="59"/>
      <c r="F10" s="275">
        <v>15</v>
      </c>
      <c r="G10" s="284" t="s">
        <v>144</v>
      </c>
      <c r="H10" s="285" t="s">
        <v>93</v>
      </c>
      <c r="I10" s="62"/>
      <c r="J10" s="274">
        <v>30</v>
      </c>
      <c r="K10" s="290" t="s">
        <v>75</v>
      </c>
      <c r="L10" s="285" t="s">
        <v>76</v>
      </c>
      <c r="M10" s="62"/>
      <c r="N10" s="274">
        <v>15</v>
      </c>
      <c r="O10" s="290" t="s">
        <v>91</v>
      </c>
      <c r="P10" s="285" t="s">
        <v>148</v>
      </c>
      <c r="Q10" s="62"/>
      <c r="R10" s="274">
        <v>0</v>
      </c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>
        <v>15</v>
      </c>
      <c r="G11" s="284" t="s">
        <v>140</v>
      </c>
      <c r="H11" s="285" t="s">
        <v>139</v>
      </c>
      <c r="I11" s="62"/>
      <c r="J11" s="274">
        <v>30</v>
      </c>
      <c r="K11" s="290" t="s">
        <v>75</v>
      </c>
      <c r="L11" s="285" t="s">
        <v>76</v>
      </c>
      <c r="M11" s="62"/>
      <c r="N11" s="274">
        <v>15</v>
      </c>
      <c r="O11" s="290" t="s">
        <v>91</v>
      </c>
      <c r="P11" s="285" t="s">
        <v>86</v>
      </c>
      <c r="Q11" s="62"/>
      <c r="R11" s="274">
        <v>0</v>
      </c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>
        <v>10</v>
      </c>
      <c r="G12" s="284" t="s">
        <v>140</v>
      </c>
      <c r="H12" s="285" t="s">
        <v>87</v>
      </c>
      <c r="I12" s="62"/>
      <c r="J12" s="274">
        <v>20</v>
      </c>
      <c r="K12" s="290" t="s">
        <v>143</v>
      </c>
      <c r="L12" s="285" t="s">
        <v>92</v>
      </c>
      <c r="M12" s="62"/>
      <c r="N12" s="274">
        <v>10</v>
      </c>
      <c r="O12" s="290" t="s">
        <v>76</v>
      </c>
      <c r="P12" s="285" t="s">
        <v>86</v>
      </c>
      <c r="Q12" s="62"/>
      <c r="R12" s="279">
        <v>0</v>
      </c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>
        <v>10</v>
      </c>
      <c r="G13" s="284" t="s">
        <v>140</v>
      </c>
      <c r="H13" s="285" t="s">
        <v>87</v>
      </c>
      <c r="I13" s="62"/>
      <c r="J13" s="274">
        <v>20</v>
      </c>
      <c r="K13" s="290" t="s">
        <v>143</v>
      </c>
      <c r="L13" s="285" t="s">
        <v>142</v>
      </c>
      <c r="M13" s="62"/>
      <c r="N13" s="274">
        <v>10</v>
      </c>
      <c r="O13" s="290" t="s">
        <v>92</v>
      </c>
      <c r="P13" s="285" t="s">
        <v>76</v>
      </c>
      <c r="Q13" s="62"/>
      <c r="R13" s="279">
        <v>0</v>
      </c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>
        <v>10</v>
      </c>
      <c r="G14" s="284" t="s">
        <v>140</v>
      </c>
      <c r="H14" s="285" t="s">
        <v>87</v>
      </c>
      <c r="I14" s="62"/>
      <c r="J14" s="274">
        <v>10</v>
      </c>
      <c r="K14" s="290" t="s">
        <v>93</v>
      </c>
      <c r="L14" s="285" t="s">
        <v>75</v>
      </c>
      <c r="M14" s="62"/>
      <c r="N14" s="279">
        <v>0</v>
      </c>
      <c r="O14" s="291"/>
      <c r="P14" s="292"/>
      <c r="Q14" s="62"/>
      <c r="R14" s="279">
        <v>0</v>
      </c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>
        <v>10</v>
      </c>
      <c r="G15" s="284" t="s">
        <v>139</v>
      </c>
      <c r="H15" s="285" t="s">
        <v>143</v>
      </c>
      <c r="I15" s="62"/>
      <c r="J15" s="274">
        <v>10</v>
      </c>
      <c r="K15" s="290" t="s">
        <v>93</v>
      </c>
      <c r="L15" s="285" t="s">
        <v>75</v>
      </c>
      <c r="M15" s="62"/>
      <c r="N15" s="279">
        <v>0</v>
      </c>
      <c r="O15" s="291"/>
      <c r="P15" s="292"/>
      <c r="Q15" s="62"/>
      <c r="R15" s="279">
        <v>0</v>
      </c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>
        <v>15</v>
      </c>
      <c r="G16" s="284" t="s">
        <v>139</v>
      </c>
      <c r="H16" s="285" t="s">
        <v>93</v>
      </c>
      <c r="I16" s="62"/>
      <c r="J16" s="278">
        <v>0</v>
      </c>
      <c r="K16" s="291"/>
      <c r="L16" s="292"/>
      <c r="M16" s="62"/>
      <c r="N16" s="279">
        <v>0</v>
      </c>
      <c r="O16" s="291"/>
      <c r="P16" s="292"/>
      <c r="Q16" s="62"/>
      <c r="R16" s="279">
        <v>0</v>
      </c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>
        <v>10</v>
      </c>
      <c r="G17" s="284" t="s">
        <v>144</v>
      </c>
      <c r="H17" s="285" t="s">
        <v>87</v>
      </c>
      <c r="I17" s="62"/>
      <c r="J17" s="279">
        <v>0</v>
      </c>
      <c r="K17" s="291"/>
      <c r="L17" s="292"/>
      <c r="M17" s="62"/>
      <c r="N17" s="279">
        <v>0</v>
      </c>
      <c r="O17" s="291"/>
      <c r="P17" s="292"/>
      <c r="Q17" s="62"/>
      <c r="R17" s="279">
        <v>0</v>
      </c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>
        <v>0</v>
      </c>
      <c r="G18" s="286"/>
      <c r="H18" s="287"/>
      <c r="I18" s="62"/>
      <c r="J18" s="280">
        <v>0</v>
      </c>
      <c r="K18" s="293"/>
      <c r="L18" s="287"/>
      <c r="M18" s="62"/>
      <c r="N18" s="280">
        <v>0</v>
      </c>
      <c r="O18" s="293"/>
      <c r="P18" s="287"/>
      <c r="Q18" s="62"/>
      <c r="R18" s="280">
        <v>0</v>
      </c>
      <c r="S18" s="293"/>
      <c r="T18" s="287"/>
    </row>
    <row r="20" spans="2:21">
      <c r="C20" s="262"/>
      <c r="D20" s="263"/>
      <c r="E20" s="263"/>
      <c r="F20" s="97"/>
      <c r="G20" s="97"/>
      <c r="H20" s="262"/>
      <c r="I20" s="262"/>
      <c r="J20" s="262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2:21">
      <c r="C21" s="97"/>
      <c r="D21" s="62"/>
      <c r="E21" s="62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2:21">
      <c r="C22" s="98"/>
      <c r="D22" s="61"/>
      <c r="E22" s="61"/>
      <c r="F22" s="97"/>
      <c r="G22" s="97"/>
      <c r="H22" s="97"/>
      <c r="I22" s="97"/>
      <c r="J22" s="97"/>
      <c r="K22" s="98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2:21">
      <c r="C23" s="97"/>
      <c r="D23" s="62"/>
      <c r="E23" s="62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  <row r="24" spans="2:21">
      <c r="C24" s="97"/>
      <c r="D24" s="62"/>
      <c r="E24" s="62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</row>
    <row r="25" spans="2:21">
      <c r="C25" s="97"/>
      <c r="D25" s="62"/>
      <c r="E25" s="62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</row>
    <row r="26" spans="2:21">
      <c r="C26" s="97"/>
      <c r="D26" s="62"/>
      <c r="E26" s="62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</row>
    <row r="27" spans="2:21">
      <c r="C27" s="97"/>
      <c r="D27" s="62"/>
      <c r="E27" s="62"/>
      <c r="F27" s="97"/>
      <c r="G27" s="97"/>
      <c r="H27" s="97"/>
      <c r="I27" s="97"/>
      <c r="J27" s="97"/>
      <c r="K27" s="64"/>
      <c r="L27" s="64"/>
      <c r="M27" s="64"/>
      <c r="N27" s="64"/>
      <c r="O27" s="97"/>
      <c r="P27" s="97"/>
      <c r="Q27" s="97"/>
      <c r="R27" s="97"/>
      <c r="S27" s="97"/>
      <c r="T27" s="97"/>
      <c r="U27" s="97"/>
    </row>
    <row r="28" spans="2:21">
      <c r="C28" s="269"/>
      <c r="D28" s="62"/>
      <c r="E28" s="62"/>
      <c r="F28" s="97"/>
      <c r="G28" s="97"/>
      <c r="H28" s="97"/>
      <c r="I28" s="97"/>
      <c r="J28" s="97"/>
      <c r="K28" s="64"/>
      <c r="L28" s="64"/>
      <c r="M28" s="64"/>
      <c r="N28" s="64"/>
      <c r="O28" s="97"/>
      <c r="P28" s="97"/>
      <c r="Q28" s="97"/>
      <c r="R28" s="97"/>
      <c r="S28" s="97"/>
      <c r="T28" s="97"/>
      <c r="U28" s="97"/>
    </row>
    <row r="29" spans="2:21">
      <c r="C29" s="97"/>
      <c r="D29" s="62"/>
      <c r="E29" s="62"/>
      <c r="F29" s="97"/>
      <c r="G29" s="97"/>
      <c r="H29" s="97"/>
      <c r="I29" s="97"/>
      <c r="J29" s="97"/>
      <c r="K29" s="270"/>
      <c r="L29" s="270"/>
      <c r="M29" s="270"/>
      <c r="N29" s="270"/>
      <c r="O29" s="97"/>
      <c r="P29" s="97"/>
      <c r="Q29" s="97"/>
      <c r="R29" s="97"/>
      <c r="S29" s="97"/>
      <c r="T29" s="97"/>
      <c r="U29" s="97"/>
    </row>
    <row r="30" spans="2:21">
      <c r="C30" s="97"/>
      <c r="D30" s="62"/>
      <c r="E30" s="62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</row>
    <row r="31" spans="2:21">
      <c r="C31" s="97"/>
      <c r="D31" s="62"/>
      <c r="E31" s="62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</row>
    <row r="32" spans="2:21">
      <c r="C32" s="97"/>
      <c r="D32" s="62"/>
      <c r="E32" s="62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</row>
    <row r="33" spans="3:21" s="90" customFormat="1">
      <c r="C33" s="97"/>
      <c r="D33" s="62"/>
      <c r="E33" s="62"/>
      <c r="F33" s="97"/>
      <c r="G33" s="97"/>
      <c r="H33" s="97"/>
      <c r="I33" s="97"/>
      <c r="J33" s="97"/>
      <c r="K33" s="269"/>
      <c r="L33" s="97"/>
      <c r="M33" s="97"/>
      <c r="N33" s="97"/>
      <c r="O33" s="97"/>
      <c r="P33" s="97"/>
      <c r="Q33" s="97"/>
      <c r="R33" s="97"/>
      <c r="S33" s="97"/>
      <c r="T33" s="97"/>
      <c r="U33" s="97"/>
    </row>
    <row r="34" spans="3:21" s="90" customFormat="1">
      <c r="C34" s="97"/>
      <c r="D34" s="62"/>
      <c r="E34" s="62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</row>
    <row r="35" spans="3:21" s="90" customFormat="1">
      <c r="C35" s="97"/>
      <c r="D35" s="62"/>
      <c r="E35" s="62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</row>
    <row r="36" spans="3:21" s="90" customFormat="1">
      <c r="C36" s="97"/>
      <c r="D36" s="62"/>
      <c r="E36" s="62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</row>
    <row r="37" spans="3:21" s="90" customFormat="1">
      <c r="C37" s="97"/>
      <c r="D37" s="62"/>
      <c r="E37" s="62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</row>
    <row r="38" spans="3:21" s="90" customFormat="1">
      <c r="C38" s="97"/>
      <c r="D38" s="62"/>
      <c r="E38" s="62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21" s="90" customFormat="1">
      <c r="C39" s="97"/>
      <c r="D39" s="62"/>
      <c r="E39" s="62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</row>
    <row r="40" spans="3:21" s="90" customFormat="1">
      <c r="C40" s="97"/>
      <c r="D40" s="62"/>
      <c r="E40" s="62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</row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-0.249977111117893"/>
  </sheetPr>
  <dimension ref="B2:U40"/>
  <sheetViews>
    <sheetView workbookViewId="0">
      <selection activeCell="H23" sqref="H23"/>
    </sheetView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90"/>
    <col min="7" max="8" width="10.7109375" style="90" customWidth="1"/>
    <col min="9" max="9" width="1.7109375" style="90" customWidth="1"/>
    <col min="10" max="12" width="10.7109375" style="90" customWidth="1"/>
    <col min="13" max="13" width="1.7109375" style="90" customWidth="1"/>
    <col min="14" max="16" width="10.7109375" style="90" customWidth="1"/>
    <col min="17" max="17" width="1.7109375" style="90" customWidth="1"/>
    <col min="18" max="20" width="10.7109375" style="90" customWidth="1"/>
    <col min="21" max="16384" width="9.140625" style="90"/>
  </cols>
  <sheetData>
    <row r="2" spans="2:20">
      <c r="C2" s="107" t="s">
        <v>468</v>
      </c>
    </row>
    <row r="4" spans="2:20" ht="15.75" thickBot="1">
      <c r="G4" s="295"/>
    </row>
    <row r="5" spans="2:20" ht="15.75" thickBot="1">
      <c r="F5" s="339" t="s">
        <v>1</v>
      </c>
      <c r="G5" s="340"/>
      <c r="H5" s="341"/>
      <c r="I5" s="61"/>
      <c r="J5" s="339" t="s">
        <v>2</v>
      </c>
      <c r="K5" s="340"/>
      <c r="L5" s="341"/>
      <c r="M5" s="64"/>
      <c r="N5" s="339" t="s">
        <v>3</v>
      </c>
      <c r="O5" s="340"/>
      <c r="P5" s="341"/>
      <c r="Q5" s="64"/>
      <c r="R5" s="339" t="s">
        <v>4</v>
      </c>
      <c r="S5" s="340"/>
      <c r="T5" s="341"/>
    </row>
    <row r="6" spans="2:20">
      <c r="B6" s="250"/>
      <c r="C6" s="251" t="s">
        <v>5</v>
      </c>
      <c r="D6" s="252" t="s">
        <v>77</v>
      </c>
      <c r="E6" s="253"/>
      <c r="F6" s="296" t="s">
        <v>149</v>
      </c>
      <c r="G6" s="297" t="s">
        <v>14</v>
      </c>
      <c r="H6" s="298" t="s">
        <v>16</v>
      </c>
      <c r="I6" s="61"/>
      <c r="J6" s="296" t="s">
        <v>149</v>
      </c>
      <c r="K6" s="297" t="s">
        <v>14</v>
      </c>
      <c r="L6" s="298" t="s">
        <v>16</v>
      </c>
      <c r="M6" s="64"/>
      <c r="N6" s="296" t="s">
        <v>149</v>
      </c>
      <c r="O6" s="297" t="s">
        <v>14</v>
      </c>
      <c r="P6" s="298" t="s">
        <v>16</v>
      </c>
      <c r="Q6" s="64"/>
      <c r="R6" s="296" t="s">
        <v>149</v>
      </c>
      <c r="S6" s="297" t="s">
        <v>14</v>
      </c>
      <c r="T6" s="298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99" t="s">
        <v>100</v>
      </c>
      <c r="G7" s="300" t="s">
        <v>447</v>
      </c>
      <c r="H7" s="301" t="s">
        <v>15</v>
      </c>
      <c r="I7" s="61"/>
      <c r="J7" s="299" t="s">
        <v>100</v>
      </c>
      <c r="K7" s="300" t="s">
        <v>447</v>
      </c>
      <c r="L7" s="301" t="s">
        <v>15</v>
      </c>
      <c r="M7" s="64"/>
      <c r="N7" s="299" t="s">
        <v>100</v>
      </c>
      <c r="O7" s="300" t="s">
        <v>447</v>
      </c>
      <c r="P7" s="301" t="s">
        <v>15</v>
      </c>
      <c r="Q7" s="64"/>
      <c r="R7" s="299" t="s">
        <v>100</v>
      </c>
      <c r="S7" s="300" t="s">
        <v>447</v>
      </c>
      <c r="T7" s="301" t="s">
        <v>15</v>
      </c>
    </row>
    <row r="8" spans="2:20">
      <c r="B8" s="250"/>
      <c r="C8" s="54" t="s">
        <v>83</v>
      </c>
      <c r="D8" s="140">
        <v>12</v>
      </c>
      <c r="E8" s="59"/>
      <c r="F8" s="273">
        <v>15</v>
      </c>
      <c r="G8" s="282" t="s">
        <v>144</v>
      </c>
      <c r="H8" s="283" t="s">
        <v>93</v>
      </c>
      <c r="I8" s="62"/>
      <c r="J8" s="277">
        <v>30</v>
      </c>
      <c r="K8" s="288" t="s">
        <v>75</v>
      </c>
      <c r="L8" s="289" t="s">
        <v>76</v>
      </c>
      <c r="M8" s="62"/>
      <c r="N8" s="277">
        <v>15</v>
      </c>
      <c r="O8" s="288" t="s">
        <v>91</v>
      </c>
      <c r="P8" s="289" t="s">
        <v>147</v>
      </c>
      <c r="Q8" s="62"/>
      <c r="R8" s="281">
        <v>15</v>
      </c>
      <c r="S8" s="288" t="s">
        <v>470</v>
      </c>
      <c r="T8" s="289" t="s">
        <v>474</v>
      </c>
    </row>
    <row r="9" spans="2:20">
      <c r="B9" s="250"/>
      <c r="C9" s="55" t="s">
        <v>98</v>
      </c>
      <c r="D9" s="141">
        <v>11</v>
      </c>
      <c r="E9" s="59"/>
      <c r="F9" s="274">
        <v>15</v>
      </c>
      <c r="G9" s="284" t="s">
        <v>144</v>
      </c>
      <c r="H9" s="285" t="s">
        <v>93</v>
      </c>
      <c r="I9" s="62"/>
      <c r="J9" s="274">
        <v>20</v>
      </c>
      <c r="K9" s="290" t="s">
        <v>141</v>
      </c>
      <c r="L9" s="285" t="s">
        <v>142</v>
      </c>
      <c r="M9" s="62"/>
      <c r="N9" s="274">
        <v>15</v>
      </c>
      <c r="O9" s="290" t="s">
        <v>145</v>
      </c>
      <c r="P9" s="285" t="s">
        <v>146</v>
      </c>
      <c r="Q9" s="62"/>
      <c r="R9" s="274">
        <v>15</v>
      </c>
      <c r="S9" s="290" t="s">
        <v>147</v>
      </c>
      <c r="T9" s="285" t="s">
        <v>85</v>
      </c>
    </row>
    <row r="10" spans="2:20">
      <c r="B10" s="250"/>
      <c r="C10" s="54" t="s">
        <v>84</v>
      </c>
      <c r="D10" s="141">
        <v>10</v>
      </c>
      <c r="E10" s="59"/>
      <c r="F10" s="275">
        <v>15</v>
      </c>
      <c r="G10" s="284" t="s">
        <v>144</v>
      </c>
      <c r="H10" s="285" t="s">
        <v>93</v>
      </c>
      <c r="I10" s="62"/>
      <c r="J10" s="274">
        <v>30</v>
      </c>
      <c r="K10" s="290" t="s">
        <v>75</v>
      </c>
      <c r="L10" s="285" t="s">
        <v>76</v>
      </c>
      <c r="M10" s="62"/>
      <c r="N10" s="274">
        <v>15</v>
      </c>
      <c r="O10" s="290" t="s">
        <v>91</v>
      </c>
      <c r="P10" s="285" t="s">
        <v>148</v>
      </c>
      <c r="Q10" s="62"/>
      <c r="R10" s="274">
        <v>0</v>
      </c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>
        <v>15</v>
      </c>
      <c r="G11" s="284" t="s">
        <v>140</v>
      </c>
      <c r="H11" s="285" t="s">
        <v>139</v>
      </c>
      <c r="I11" s="62"/>
      <c r="J11" s="274">
        <v>30</v>
      </c>
      <c r="K11" s="290" t="s">
        <v>75</v>
      </c>
      <c r="L11" s="285" t="s">
        <v>76</v>
      </c>
      <c r="M11" s="62"/>
      <c r="N11" s="274">
        <v>15</v>
      </c>
      <c r="O11" s="290" t="s">
        <v>91</v>
      </c>
      <c r="P11" s="285" t="s">
        <v>86</v>
      </c>
      <c r="Q11" s="62"/>
      <c r="R11" s="274">
        <v>0</v>
      </c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>
        <v>10</v>
      </c>
      <c r="G12" s="284" t="s">
        <v>140</v>
      </c>
      <c r="H12" s="285" t="s">
        <v>87</v>
      </c>
      <c r="I12" s="62"/>
      <c r="J12" s="274">
        <v>20</v>
      </c>
      <c r="K12" s="290" t="s">
        <v>143</v>
      </c>
      <c r="L12" s="285" t="s">
        <v>92</v>
      </c>
      <c r="M12" s="62"/>
      <c r="N12" s="274">
        <v>10</v>
      </c>
      <c r="O12" s="290" t="s">
        <v>76</v>
      </c>
      <c r="P12" s="285" t="s">
        <v>86</v>
      </c>
      <c r="Q12" s="62"/>
      <c r="R12" s="279">
        <v>0</v>
      </c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>
        <v>10</v>
      </c>
      <c r="G13" s="284" t="s">
        <v>140</v>
      </c>
      <c r="H13" s="285" t="s">
        <v>87</v>
      </c>
      <c r="I13" s="62"/>
      <c r="J13" s="274">
        <v>20</v>
      </c>
      <c r="K13" s="290" t="s">
        <v>143</v>
      </c>
      <c r="L13" s="285" t="s">
        <v>142</v>
      </c>
      <c r="M13" s="62"/>
      <c r="N13" s="274">
        <v>10</v>
      </c>
      <c r="O13" s="290" t="s">
        <v>92</v>
      </c>
      <c r="P13" s="285" t="s">
        <v>76</v>
      </c>
      <c r="Q13" s="62"/>
      <c r="R13" s="279">
        <v>0</v>
      </c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>
        <v>10</v>
      </c>
      <c r="G14" s="284" t="s">
        <v>140</v>
      </c>
      <c r="H14" s="285" t="s">
        <v>87</v>
      </c>
      <c r="I14" s="62"/>
      <c r="J14" s="274">
        <v>10</v>
      </c>
      <c r="K14" s="290" t="s">
        <v>93</v>
      </c>
      <c r="L14" s="285" t="s">
        <v>75</v>
      </c>
      <c r="M14" s="62"/>
      <c r="N14" s="279">
        <v>0</v>
      </c>
      <c r="O14" s="291"/>
      <c r="P14" s="292"/>
      <c r="Q14" s="62"/>
      <c r="R14" s="279">
        <v>0</v>
      </c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>
        <v>10</v>
      </c>
      <c r="G15" s="284" t="s">
        <v>139</v>
      </c>
      <c r="H15" s="285" t="s">
        <v>143</v>
      </c>
      <c r="I15" s="62"/>
      <c r="J15" s="274">
        <v>10</v>
      </c>
      <c r="K15" s="290" t="s">
        <v>93</v>
      </c>
      <c r="L15" s="285" t="s">
        <v>75</v>
      </c>
      <c r="M15" s="62"/>
      <c r="N15" s="279">
        <v>0</v>
      </c>
      <c r="O15" s="291"/>
      <c r="P15" s="292"/>
      <c r="Q15" s="62"/>
      <c r="R15" s="279">
        <v>0</v>
      </c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>
        <v>15</v>
      </c>
      <c r="G16" s="284" t="s">
        <v>139</v>
      </c>
      <c r="H16" s="285" t="s">
        <v>93</v>
      </c>
      <c r="I16" s="62"/>
      <c r="J16" s="278">
        <v>0</v>
      </c>
      <c r="K16" s="291"/>
      <c r="L16" s="292"/>
      <c r="M16" s="62"/>
      <c r="N16" s="279">
        <v>0</v>
      </c>
      <c r="O16" s="291"/>
      <c r="P16" s="292"/>
      <c r="Q16" s="62"/>
      <c r="R16" s="279">
        <v>0</v>
      </c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>
        <v>10</v>
      </c>
      <c r="G17" s="284" t="s">
        <v>144</v>
      </c>
      <c r="H17" s="285" t="s">
        <v>87</v>
      </c>
      <c r="I17" s="62"/>
      <c r="J17" s="279">
        <v>0</v>
      </c>
      <c r="K17" s="291"/>
      <c r="L17" s="292"/>
      <c r="M17" s="62"/>
      <c r="N17" s="279">
        <v>0</v>
      </c>
      <c r="O17" s="291"/>
      <c r="P17" s="292"/>
      <c r="Q17" s="62"/>
      <c r="R17" s="279">
        <v>0</v>
      </c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>
        <v>0</v>
      </c>
      <c r="G18" s="286"/>
      <c r="H18" s="287"/>
      <c r="I18" s="62"/>
      <c r="J18" s="280">
        <v>0</v>
      </c>
      <c r="K18" s="293"/>
      <c r="L18" s="287"/>
      <c r="M18" s="62"/>
      <c r="N18" s="280">
        <v>0</v>
      </c>
      <c r="O18" s="293"/>
      <c r="P18" s="287"/>
      <c r="Q18" s="62"/>
      <c r="R18" s="280">
        <v>0</v>
      </c>
      <c r="S18" s="293"/>
      <c r="T18" s="287"/>
    </row>
    <row r="20" spans="2:21">
      <c r="C20" s="262"/>
      <c r="D20" s="263"/>
      <c r="E20" s="263"/>
      <c r="F20" s="97"/>
      <c r="G20" s="97"/>
      <c r="H20" s="262"/>
      <c r="I20" s="262"/>
      <c r="J20" s="262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2:21">
      <c r="C21" s="97"/>
      <c r="D21" s="62"/>
      <c r="E21" s="62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2:21">
      <c r="C22" s="98"/>
      <c r="D22" s="61"/>
      <c r="E22" s="61"/>
      <c r="F22" s="97"/>
      <c r="G22" s="97"/>
      <c r="H22" s="97"/>
      <c r="I22" s="97"/>
      <c r="J22" s="97"/>
      <c r="K22" s="98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2:21">
      <c r="C23" s="97"/>
      <c r="D23" s="62"/>
      <c r="E23" s="62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  <row r="24" spans="2:21">
      <c r="C24" s="97"/>
      <c r="D24" s="62"/>
      <c r="E24" s="62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</row>
    <row r="25" spans="2:21">
      <c r="C25" s="97"/>
      <c r="D25" s="62"/>
      <c r="E25" s="62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</row>
    <row r="26" spans="2:21">
      <c r="C26" s="97"/>
      <c r="D26" s="62"/>
      <c r="E26" s="62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</row>
    <row r="27" spans="2:21">
      <c r="C27" s="97"/>
      <c r="D27" s="62"/>
      <c r="E27" s="62"/>
      <c r="F27" s="97"/>
      <c r="G27" s="97"/>
      <c r="H27" s="97"/>
      <c r="I27" s="97"/>
      <c r="J27" s="97"/>
      <c r="K27" s="64"/>
      <c r="L27" s="64"/>
      <c r="M27" s="64"/>
      <c r="N27" s="64"/>
      <c r="O27" s="97"/>
      <c r="P27" s="97"/>
      <c r="Q27" s="97"/>
      <c r="R27" s="97"/>
      <c r="S27" s="97"/>
      <c r="T27" s="97"/>
      <c r="U27" s="97"/>
    </row>
    <row r="28" spans="2:21">
      <c r="C28" s="269"/>
      <c r="D28" s="62"/>
      <c r="E28" s="62"/>
      <c r="F28" s="97"/>
      <c r="G28" s="97"/>
      <c r="H28" s="97"/>
      <c r="I28" s="97"/>
      <c r="J28" s="97"/>
      <c r="K28" s="64"/>
      <c r="L28" s="64"/>
      <c r="M28" s="64"/>
      <c r="N28" s="64"/>
      <c r="O28" s="97"/>
      <c r="P28" s="97"/>
      <c r="Q28" s="97"/>
      <c r="R28" s="97"/>
      <c r="S28" s="97"/>
      <c r="T28" s="97"/>
      <c r="U28" s="97"/>
    </row>
    <row r="29" spans="2:21">
      <c r="C29" s="97"/>
      <c r="D29" s="62"/>
      <c r="E29" s="62"/>
      <c r="F29" s="97"/>
      <c r="G29" s="97"/>
      <c r="H29" s="97"/>
      <c r="I29" s="97"/>
      <c r="J29" s="97"/>
      <c r="K29" s="270"/>
      <c r="L29" s="270"/>
      <c r="M29" s="270"/>
      <c r="N29" s="270"/>
      <c r="O29" s="97"/>
      <c r="P29" s="97"/>
      <c r="Q29" s="97"/>
      <c r="R29" s="97"/>
      <c r="S29" s="97"/>
      <c r="T29" s="97"/>
      <c r="U29" s="97"/>
    </row>
    <row r="30" spans="2:21">
      <c r="C30" s="97"/>
      <c r="D30" s="62"/>
      <c r="E30" s="62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</row>
    <row r="31" spans="2:21">
      <c r="C31" s="97"/>
      <c r="D31" s="62"/>
      <c r="E31" s="62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</row>
    <row r="32" spans="2:21">
      <c r="C32" s="97"/>
      <c r="D32" s="62"/>
      <c r="E32" s="62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</row>
    <row r="33" spans="3:21" s="90" customFormat="1">
      <c r="C33" s="97"/>
      <c r="D33" s="62"/>
      <c r="E33" s="62"/>
      <c r="F33" s="97"/>
      <c r="G33" s="97"/>
      <c r="H33" s="97"/>
      <c r="I33" s="97"/>
      <c r="J33" s="97"/>
      <c r="K33" s="269"/>
      <c r="L33" s="97"/>
      <c r="M33" s="97"/>
      <c r="N33" s="97"/>
      <c r="O33" s="97"/>
      <c r="P33" s="97"/>
      <c r="Q33" s="97"/>
      <c r="R33" s="97"/>
      <c r="S33" s="97"/>
      <c r="T33" s="97"/>
      <c r="U33" s="97"/>
    </row>
    <row r="34" spans="3:21" s="90" customFormat="1">
      <c r="C34" s="97"/>
      <c r="D34" s="62"/>
      <c r="E34" s="62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</row>
    <row r="35" spans="3:21" s="90" customFormat="1">
      <c r="C35" s="97"/>
      <c r="D35" s="62"/>
      <c r="E35" s="62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</row>
    <row r="36" spans="3:21" s="90" customFormat="1">
      <c r="C36" s="97"/>
      <c r="D36" s="62"/>
      <c r="E36" s="62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</row>
    <row r="37" spans="3:21" s="90" customFormat="1">
      <c r="C37" s="97"/>
      <c r="D37" s="62"/>
      <c r="E37" s="62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</row>
    <row r="38" spans="3:21" s="90" customFormat="1">
      <c r="C38" s="97"/>
      <c r="D38" s="62"/>
      <c r="E38" s="62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21" s="90" customFormat="1">
      <c r="C39" s="97"/>
      <c r="D39" s="62"/>
      <c r="E39" s="62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</row>
    <row r="40" spans="3:21" s="90" customFormat="1">
      <c r="C40" s="97"/>
      <c r="D40" s="62"/>
      <c r="E40" s="62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</row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-0.249977111117893"/>
  </sheetPr>
  <dimension ref="B2:U288"/>
  <sheetViews>
    <sheetView workbookViewId="0">
      <selection activeCell="J25" sqref="J25"/>
    </sheetView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248"/>
    <col min="7" max="8" width="10.7109375" style="91" customWidth="1"/>
    <col min="9" max="9" width="1.7109375" style="90" customWidth="1"/>
    <col min="10" max="10" width="10.7109375" style="248" customWidth="1"/>
    <col min="11" max="12" width="10.7109375" style="91" customWidth="1"/>
    <col min="13" max="13" width="1.7109375" style="90" customWidth="1"/>
    <col min="14" max="14" width="10.7109375" style="248" customWidth="1"/>
    <col min="15" max="16" width="10.7109375" style="91" customWidth="1"/>
    <col min="17" max="17" width="1.7109375" style="90" customWidth="1"/>
    <col min="18" max="18" width="10.7109375" style="248" customWidth="1"/>
    <col min="19" max="20" width="10.7109375" style="91" customWidth="1"/>
    <col min="21" max="16384" width="9.140625" style="90"/>
  </cols>
  <sheetData>
    <row r="2" spans="2:20">
      <c r="C2" s="107" t="s">
        <v>466</v>
      </c>
    </row>
    <row r="4" spans="2:20" ht="15.75" thickBot="1">
      <c r="G4" s="249"/>
    </row>
    <row r="5" spans="2:20" ht="15.75" thickBot="1">
      <c r="F5" s="339" t="s">
        <v>1</v>
      </c>
      <c r="G5" s="340"/>
      <c r="H5" s="341"/>
      <c r="I5" s="61"/>
      <c r="J5" s="339" t="s">
        <v>2</v>
      </c>
      <c r="K5" s="340"/>
      <c r="L5" s="341"/>
      <c r="M5" s="64"/>
      <c r="N5" s="339" t="s">
        <v>3</v>
      </c>
      <c r="O5" s="340"/>
      <c r="P5" s="341"/>
      <c r="Q5" s="64"/>
      <c r="R5" s="339" t="s">
        <v>4</v>
      </c>
      <c r="S5" s="340"/>
      <c r="T5" s="341"/>
    </row>
    <row r="6" spans="2:20">
      <c r="B6" s="250"/>
      <c r="C6" s="251" t="s">
        <v>5</v>
      </c>
      <c r="D6" s="252" t="s">
        <v>77</v>
      </c>
      <c r="E6" s="253"/>
      <c r="F6" s="254" t="s">
        <v>149</v>
      </c>
      <c r="G6" s="255" t="s">
        <v>14</v>
      </c>
      <c r="H6" s="256" t="s">
        <v>16</v>
      </c>
      <c r="I6" s="61"/>
      <c r="J6" s="254" t="s">
        <v>149</v>
      </c>
      <c r="K6" s="255" t="s">
        <v>14</v>
      </c>
      <c r="L6" s="256" t="s">
        <v>16</v>
      </c>
      <c r="M6" s="64"/>
      <c r="N6" s="254" t="s">
        <v>149</v>
      </c>
      <c r="O6" s="255" t="s">
        <v>14</v>
      </c>
      <c r="P6" s="256" t="s">
        <v>16</v>
      </c>
      <c r="Q6" s="64"/>
      <c r="R6" s="254" t="s">
        <v>149</v>
      </c>
      <c r="S6" s="255" t="s">
        <v>14</v>
      </c>
      <c r="T6" s="256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59" t="s">
        <v>100</v>
      </c>
      <c r="G7" s="260" t="s">
        <v>447</v>
      </c>
      <c r="H7" s="261" t="s">
        <v>15</v>
      </c>
      <c r="I7" s="61"/>
      <c r="J7" s="259" t="s">
        <v>100</v>
      </c>
      <c r="K7" s="260" t="s">
        <v>447</v>
      </c>
      <c r="L7" s="261" t="s">
        <v>15</v>
      </c>
      <c r="M7" s="64"/>
      <c r="N7" s="259" t="s">
        <v>100</v>
      </c>
      <c r="O7" s="260" t="s">
        <v>447</v>
      </c>
      <c r="P7" s="261" t="s">
        <v>15</v>
      </c>
      <c r="Q7" s="64"/>
      <c r="R7" s="259" t="s">
        <v>100</v>
      </c>
      <c r="S7" s="260" t="s">
        <v>447</v>
      </c>
      <c r="T7" s="261" t="s">
        <v>15</v>
      </c>
    </row>
    <row r="8" spans="2:20">
      <c r="B8" s="250"/>
      <c r="C8" s="54" t="s">
        <v>83</v>
      </c>
      <c r="D8" s="140">
        <v>12</v>
      </c>
      <c r="E8" s="59"/>
      <c r="F8" s="273"/>
      <c r="G8" s="282"/>
      <c r="H8" s="283"/>
      <c r="I8" s="62"/>
      <c r="J8" s="277"/>
      <c r="K8" s="288"/>
      <c r="L8" s="289"/>
      <c r="M8" s="62"/>
      <c r="N8" s="277"/>
      <c r="O8" s="288"/>
      <c r="P8" s="289"/>
      <c r="Q8" s="62"/>
      <c r="R8" s="281"/>
      <c r="S8" s="288"/>
      <c r="T8" s="289"/>
    </row>
    <row r="9" spans="2:20">
      <c r="B9" s="250"/>
      <c r="C9" s="55" t="s">
        <v>98</v>
      </c>
      <c r="D9" s="141">
        <v>11</v>
      </c>
      <c r="E9" s="59"/>
      <c r="F9" s="274"/>
      <c r="G9" s="284"/>
      <c r="H9" s="285"/>
      <c r="I9" s="62"/>
      <c r="J9" s="274"/>
      <c r="K9" s="290"/>
      <c r="L9" s="285"/>
      <c r="M9" s="62"/>
      <c r="N9" s="274"/>
      <c r="O9" s="290"/>
      <c r="P9" s="285"/>
      <c r="Q9" s="62"/>
      <c r="R9" s="274"/>
      <c r="S9" s="290"/>
      <c r="T9" s="285"/>
    </row>
    <row r="10" spans="2:20">
      <c r="B10" s="250"/>
      <c r="C10" s="54" t="s">
        <v>84</v>
      </c>
      <c r="D10" s="141">
        <v>10</v>
      </c>
      <c r="E10" s="59"/>
      <c r="F10" s="275"/>
      <c r="G10" s="284"/>
      <c r="H10" s="285"/>
      <c r="I10" s="62"/>
      <c r="J10" s="274"/>
      <c r="K10" s="290"/>
      <c r="L10" s="285"/>
      <c r="M10" s="62"/>
      <c r="N10" s="274"/>
      <c r="O10" s="290"/>
      <c r="P10" s="285"/>
      <c r="Q10" s="62"/>
      <c r="R10" s="274"/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/>
      <c r="G11" s="284"/>
      <c r="H11" s="285"/>
      <c r="I11" s="62"/>
      <c r="J11" s="274"/>
      <c r="K11" s="290"/>
      <c r="L11" s="285"/>
      <c r="M11" s="62"/>
      <c r="N11" s="274"/>
      <c r="O11" s="290"/>
      <c r="P11" s="285"/>
      <c r="Q11" s="62"/>
      <c r="R11" s="274"/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/>
      <c r="G12" s="284"/>
      <c r="H12" s="285"/>
      <c r="I12" s="62"/>
      <c r="J12" s="274"/>
      <c r="K12" s="290"/>
      <c r="L12" s="285"/>
      <c r="M12" s="62"/>
      <c r="N12" s="274"/>
      <c r="O12" s="290"/>
      <c r="P12" s="285"/>
      <c r="Q12" s="62"/>
      <c r="R12" s="279"/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/>
      <c r="G13" s="284"/>
      <c r="H13" s="285"/>
      <c r="I13" s="62"/>
      <c r="J13" s="274"/>
      <c r="K13" s="290"/>
      <c r="L13" s="285"/>
      <c r="M13" s="62"/>
      <c r="N13" s="274"/>
      <c r="O13" s="290"/>
      <c r="P13" s="285"/>
      <c r="Q13" s="62"/>
      <c r="R13" s="279"/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/>
      <c r="G14" s="284"/>
      <c r="H14" s="285"/>
      <c r="I14" s="62"/>
      <c r="J14" s="274"/>
      <c r="K14" s="290"/>
      <c r="L14" s="285"/>
      <c r="M14" s="62"/>
      <c r="N14" s="279"/>
      <c r="O14" s="291"/>
      <c r="P14" s="292"/>
      <c r="Q14" s="62"/>
      <c r="R14" s="279"/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/>
      <c r="G15" s="284"/>
      <c r="H15" s="285"/>
      <c r="I15" s="62"/>
      <c r="J15" s="274"/>
      <c r="K15" s="290"/>
      <c r="L15" s="285"/>
      <c r="M15" s="62"/>
      <c r="N15" s="279"/>
      <c r="O15" s="291"/>
      <c r="P15" s="292"/>
      <c r="Q15" s="62"/>
      <c r="R15" s="279"/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/>
      <c r="G16" s="284"/>
      <c r="H16" s="285"/>
      <c r="I16" s="62"/>
      <c r="J16" s="278"/>
      <c r="K16" s="291"/>
      <c r="L16" s="292"/>
      <c r="M16" s="62"/>
      <c r="N16" s="279"/>
      <c r="O16" s="291"/>
      <c r="P16" s="292"/>
      <c r="Q16" s="62"/>
      <c r="R16" s="279"/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/>
      <c r="G17" s="284"/>
      <c r="H17" s="285"/>
      <c r="I17" s="62"/>
      <c r="J17" s="279"/>
      <c r="K17" s="291"/>
      <c r="L17" s="292"/>
      <c r="M17" s="62"/>
      <c r="N17" s="279"/>
      <c r="O17" s="291"/>
      <c r="P17" s="292"/>
      <c r="Q17" s="62"/>
      <c r="R17" s="279"/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/>
      <c r="G18" s="286"/>
      <c r="H18" s="287"/>
      <c r="I18" s="62"/>
      <c r="J18" s="280"/>
      <c r="K18" s="293"/>
      <c r="L18" s="287"/>
      <c r="M18" s="62"/>
      <c r="N18" s="280"/>
      <c r="O18" s="293"/>
      <c r="P18" s="287"/>
      <c r="Q18" s="62"/>
      <c r="R18" s="280"/>
      <c r="S18" s="293"/>
      <c r="T18" s="287"/>
    </row>
    <row r="20" spans="2:21">
      <c r="C20" s="262"/>
      <c r="D20" s="263"/>
      <c r="E20" s="263"/>
      <c r="F20" s="264"/>
      <c r="G20" s="101"/>
      <c r="H20" s="265"/>
      <c r="I20" s="262"/>
      <c r="J20" s="266"/>
      <c r="K20" s="101"/>
      <c r="L20" s="101"/>
      <c r="M20" s="97"/>
      <c r="N20" s="264"/>
      <c r="O20" s="101"/>
      <c r="P20" s="101"/>
      <c r="Q20" s="97"/>
      <c r="R20" s="264"/>
      <c r="S20" s="101"/>
      <c r="T20" s="101"/>
      <c r="U20" s="97"/>
    </row>
    <row r="21" spans="2:21">
      <c r="C21" s="97"/>
      <c r="D21" s="62"/>
      <c r="E21" s="62"/>
      <c r="F21" s="264"/>
      <c r="G21" s="101"/>
      <c r="H21" s="101"/>
      <c r="I21" s="97"/>
      <c r="J21" s="264"/>
      <c r="K21" s="101"/>
      <c r="L21" s="101"/>
      <c r="M21" s="97"/>
      <c r="N21" s="264"/>
      <c r="O21" s="101"/>
      <c r="P21" s="101"/>
      <c r="Q21" s="97"/>
      <c r="R21" s="264"/>
      <c r="S21" s="101"/>
      <c r="T21" s="101"/>
      <c r="U21" s="97"/>
    </row>
    <row r="22" spans="2:21">
      <c r="C22" s="98"/>
      <c r="D22" s="61"/>
      <c r="E22" s="61"/>
      <c r="F22" s="264"/>
      <c r="G22" s="101"/>
      <c r="H22" s="101"/>
      <c r="I22" s="97"/>
      <c r="J22" s="264"/>
      <c r="K22" s="267"/>
      <c r="L22" s="101"/>
      <c r="M22" s="97"/>
      <c r="N22" s="264"/>
      <c r="O22" s="101"/>
      <c r="P22" s="101"/>
      <c r="Q22" s="97"/>
      <c r="R22" s="264"/>
      <c r="S22" s="101"/>
      <c r="T22" s="101"/>
      <c r="U22" s="97"/>
    </row>
    <row r="23" spans="2:21">
      <c r="C23" s="97"/>
      <c r="D23" s="62"/>
      <c r="E23" s="62"/>
      <c r="F23" s="264"/>
      <c r="G23" s="101"/>
      <c r="H23" s="101"/>
      <c r="I23" s="97"/>
      <c r="J23" s="264"/>
      <c r="K23" s="101"/>
      <c r="L23" s="101"/>
      <c r="M23" s="97"/>
      <c r="N23" s="264"/>
      <c r="O23" s="101"/>
      <c r="P23" s="101"/>
      <c r="Q23" s="97"/>
      <c r="R23" s="264"/>
      <c r="S23" s="101"/>
      <c r="T23" s="101"/>
      <c r="U23" s="97"/>
    </row>
    <row r="24" spans="2:21">
      <c r="C24" s="97"/>
      <c r="D24" s="62"/>
      <c r="E24" s="62"/>
      <c r="F24" s="264"/>
      <c r="G24" s="101"/>
      <c r="H24" s="101"/>
      <c r="I24" s="97"/>
      <c r="J24" s="264"/>
      <c r="K24" s="101"/>
      <c r="L24" s="101"/>
      <c r="M24" s="97"/>
      <c r="N24" s="264"/>
      <c r="O24" s="101"/>
      <c r="P24" s="101"/>
      <c r="Q24" s="97"/>
      <c r="R24" s="264"/>
      <c r="S24" s="101"/>
      <c r="T24" s="101"/>
      <c r="U24" s="97"/>
    </row>
    <row r="25" spans="2:21">
      <c r="C25" s="97"/>
      <c r="D25" s="62"/>
      <c r="E25" s="62"/>
      <c r="F25" s="264"/>
      <c r="G25" s="101"/>
      <c r="H25" s="101"/>
      <c r="I25" s="97"/>
      <c r="J25" s="264"/>
      <c r="K25" s="101"/>
      <c r="L25" s="101"/>
      <c r="M25" s="97"/>
      <c r="N25" s="264"/>
      <c r="O25" s="101"/>
      <c r="P25" s="101"/>
      <c r="Q25" s="97"/>
      <c r="R25" s="264"/>
      <c r="S25" s="101"/>
      <c r="T25" s="101"/>
      <c r="U25" s="97"/>
    </row>
    <row r="26" spans="2:21">
      <c r="C26" s="97"/>
      <c r="D26" s="62"/>
      <c r="E26" s="62"/>
      <c r="F26" s="264"/>
      <c r="G26" s="101"/>
      <c r="H26" s="101"/>
      <c r="I26" s="97"/>
      <c r="J26" s="264"/>
      <c r="K26" s="101"/>
      <c r="L26" s="101"/>
      <c r="M26" s="97"/>
      <c r="N26" s="264"/>
      <c r="O26" s="101"/>
      <c r="P26" s="101"/>
      <c r="Q26" s="97"/>
      <c r="R26" s="264"/>
      <c r="S26" s="101"/>
      <c r="T26" s="101"/>
      <c r="U26" s="97"/>
    </row>
    <row r="27" spans="2:21">
      <c r="C27" s="97"/>
      <c r="D27" s="62"/>
      <c r="E27" s="62"/>
      <c r="F27" s="264"/>
      <c r="G27" s="101"/>
      <c r="H27" s="101"/>
      <c r="I27" s="97"/>
      <c r="J27" s="264"/>
      <c r="K27" s="61"/>
      <c r="L27" s="61"/>
      <c r="M27" s="64"/>
      <c r="N27" s="268"/>
      <c r="O27" s="101"/>
      <c r="P27" s="101"/>
      <c r="Q27" s="97"/>
      <c r="R27" s="264"/>
      <c r="S27" s="101"/>
      <c r="T27" s="101"/>
      <c r="U27" s="97"/>
    </row>
    <row r="28" spans="2:21">
      <c r="C28" s="269"/>
      <c r="D28" s="62"/>
      <c r="E28" s="62"/>
      <c r="F28" s="264"/>
      <c r="G28" s="101"/>
      <c r="H28" s="101"/>
      <c r="I28" s="97"/>
      <c r="J28" s="264"/>
      <c r="K28" s="61"/>
      <c r="L28" s="61"/>
      <c r="M28" s="64"/>
      <c r="N28" s="268"/>
      <c r="O28" s="101"/>
      <c r="P28" s="101"/>
      <c r="Q28" s="97"/>
      <c r="R28" s="264"/>
      <c r="S28" s="101"/>
      <c r="T28" s="101"/>
      <c r="U28" s="97"/>
    </row>
    <row r="29" spans="2:21">
      <c r="C29" s="97"/>
      <c r="D29" s="62"/>
      <c r="E29" s="62"/>
      <c r="F29" s="264"/>
      <c r="G29" s="101"/>
      <c r="H29" s="101"/>
      <c r="I29" s="97"/>
      <c r="J29" s="264"/>
      <c r="K29" s="62"/>
      <c r="L29" s="62"/>
      <c r="M29" s="270"/>
      <c r="N29" s="271"/>
      <c r="O29" s="101"/>
      <c r="P29" s="101"/>
      <c r="Q29" s="97"/>
      <c r="R29" s="264"/>
      <c r="S29" s="101"/>
      <c r="T29" s="101"/>
      <c r="U29" s="97"/>
    </row>
    <row r="30" spans="2:21">
      <c r="C30" s="97"/>
      <c r="D30" s="62"/>
      <c r="E30" s="62"/>
      <c r="F30" s="264"/>
      <c r="G30" s="101"/>
      <c r="H30" s="101"/>
      <c r="I30" s="97"/>
      <c r="J30" s="264"/>
      <c r="K30" s="101"/>
      <c r="L30" s="101"/>
      <c r="M30" s="97"/>
      <c r="N30" s="264"/>
      <c r="O30" s="101"/>
      <c r="P30" s="101"/>
      <c r="Q30" s="97"/>
      <c r="R30" s="264"/>
      <c r="S30" s="101"/>
      <c r="T30" s="101"/>
      <c r="U30" s="97"/>
    </row>
    <row r="31" spans="2:21">
      <c r="C31" s="97"/>
      <c r="D31" s="62"/>
      <c r="E31" s="62"/>
      <c r="F31" s="264"/>
      <c r="G31" s="101"/>
      <c r="H31" s="101"/>
      <c r="I31" s="97"/>
      <c r="J31" s="264"/>
      <c r="K31" s="101"/>
      <c r="L31" s="101"/>
      <c r="M31" s="97"/>
      <c r="N31" s="264"/>
      <c r="O31" s="101"/>
      <c r="P31" s="101"/>
      <c r="Q31" s="97"/>
      <c r="R31" s="264"/>
      <c r="S31" s="101"/>
      <c r="T31" s="101"/>
      <c r="U31" s="97"/>
    </row>
    <row r="32" spans="2:21">
      <c r="C32" s="97"/>
      <c r="D32" s="62"/>
      <c r="E32" s="62"/>
      <c r="F32" s="264"/>
      <c r="G32" s="101"/>
      <c r="H32" s="101"/>
      <c r="I32" s="97"/>
      <c r="J32" s="264"/>
      <c r="K32" s="101"/>
      <c r="L32" s="101"/>
      <c r="M32" s="97"/>
      <c r="N32" s="264"/>
      <c r="O32" s="101"/>
      <c r="P32" s="101"/>
      <c r="Q32" s="97"/>
      <c r="R32" s="264"/>
      <c r="S32" s="101"/>
      <c r="T32" s="101"/>
      <c r="U32" s="97"/>
    </row>
    <row r="33" spans="2:21">
      <c r="B33" s="90"/>
      <c r="C33" s="97"/>
      <c r="D33" s="62"/>
      <c r="E33" s="62"/>
      <c r="F33" s="264"/>
      <c r="G33" s="101"/>
      <c r="H33" s="101"/>
      <c r="I33" s="97"/>
      <c r="J33" s="264"/>
      <c r="K33" s="272"/>
      <c r="L33" s="101"/>
      <c r="M33" s="97"/>
      <c r="N33" s="264"/>
      <c r="O33" s="101"/>
      <c r="P33" s="101"/>
      <c r="Q33" s="97"/>
      <c r="R33" s="264"/>
      <c r="S33" s="101"/>
      <c r="T33" s="101"/>
      <c r="U33" s="97"/>
    </row>
    <row r="34" spans="2:21">
      <c r="B34" s="90"/>
      <c r="C34" s="97"/>
      <c r="D34" s="62"/>
      <c r="E34" s="62"/>
      <c r="F34" s="264"/>
      <c r="G34" s="101"/>
      <c r="H34" s="101"/>
      <c r="I34" s="97"/>
      <c r="J34" s="264"/>
      <c r="K34" s="101"/>
      <c r="L34" s="101"/>
      <c r="M34" s="97"/>
      <c r="N34" s="264"/>
      <c r="O34" s="101"/>
      <c r="P34" s="101"/>
      <c r="Q34" s="97"/>
      <c r="R34" s="264"/>
      <c r="S34" s="101"/>
      <c r="T34" s="101"/>
      <c r="U34" s="97"/>
    </row>
    <row r="35" spans="2:21">
      <c r="B35" s="90"/>
      <c r="C35" s="97"/>
      <c r="D35" s="62"/>
      <c r="E35" s="62"/>
      <c r="F35" s="264"/>
      <c r="G35" s="101"/>
      <c r="H35" s="101"/>
      <c r="I35" s="97"/>
      <c r="J35" s="264"/>
      <c r="K35" s="101"/>
      <c r="L35" s="101"/>
      <c r="M35" s="97"/>
      <c r="N35" s="264"/>
      <c r="O35" s="101"/>
      <c r="P35" s="101"/>
      <c r="Q35" s="97"/>
      <c r="R35" s="264"/>
      <c r="S35" s="101"/>
      <c r="T35" s="101"/>
      <c r="U35" s="97"/>
    </row>
    <row r="36" spans="2:21">
      <c r="B36" s="90"/>
      <c r="C36" s="97"/>
      <c r="D36" s="62"/>
      <c r="E36" s="62"/>
      <c r="F36" s="264"/>
      <c r="G36" s="101"/>
      <c r="H36" s="101"/>
      <c r="I36" s="97"/>
      <c r="J36" s="264"/>
      <c r="K36" s="101"/>
      <c r="L36" s="101"/>
      <c r="M36" s="97"/>
      <c r="N36" s="264"/>
      <c r="O36" s="101"/>
      <c r="P36" s="101"/>
      <c r="Q36" s="97"/>
      <c r="R36" s="264"/>
      <c r="S36" s="101"/>
      <c r="T36" s="101"/>
      <c r="U36" s="97"/>
    </row>
    <row r="37" spans="2:21">
      <c r="B37" s="90"/>
      <c r="C37" s="97"/>
      <c r="D37" s="62"/>
      <c r="E37" s="62"/>
      <c r="F37" s="264"/>
      <c r="G37" s="101"/>
      <c r="H37" s="101"/>
      <c r="I37" s="97"/>
      <c r="J37" s="264"/>
      <c r="K37" s="101"/>
      <c r="L37" s="101"/>
      <c r="M37" s="97"/>
      <c r="N37" s="264"/>
      <c r="O37" s="101"/>
      <c r="P37" s="101"/>
      <c r="Q37" s="97"/>
      <c r="R37" s="264"/>
      <c r="S37" s="101"/>
      <c r="T37" s="101"/>
      <c r="U37" s="97"/>
    </row>
    <row r="38" spans="2:21">
      <c r="B38" s="90"/>
      <c r="C38" s="97"/>
      <c r="D38" s="62"/>
      <c r="E38" s="62"/>
      <c r="F38" s="264"/>
      <c r="G38" s="101"/>
      <c r="H38" s="101"/>
      <c r="I38" s="97"/>
      <c r="J38" s="264"/>
      <c r="K38" s="101"/>
      <c r="L38" s="101"/>
      <c r="M38" s="97"/>
      <c r="N38" s="264"/>
      <c r="O38" s="101"/>
      <c r="P38" s="101"/>
      <c r="Q38" s="97"/>
      <c r="R38" s="264"/>
      <c r="S38" s="101"/>
      <c r="T38" s="101"/>
      <c r="U38" s="97"/>
    </row>
    <row r="39" spans="2:21">
      <c r="B39" s="90"/>
      <c r="C39" s="97"/>
      <c r="D39" s="62"/>
      <c r="E39" s="62"/>
      <c r="F39" s="264"/>
      <c r="G39" s="101"/>
      <c r="H39" s="101"/>
      <c r="I39" s="97"/>
      <c r="J39" s="264"/>
      <c r="K39" s="101"/>
      <c r="L39" s="101"/>
      <c r="M39" s="97"/>
      <c r="N39" s="264"/>
      <c r="O39" s="101"/>
      <c r="P39" s="101"/>
      <c r="Q39" s="97"/>
      <c r="R39" s="264"/>
      <c r="S39" s="101"/>
      <c r="T39" s="101"/>
      <c r="U39" s="97"/>
    </row>
    <row r="40" spans="2:21">
      <c r="B40" s="90"/>
      <c r="C40" s="97"/>
      <c r="D40" s="62"/>
      <c r="E40" s="62"/>
      <c r="F40" s="264"/>
      <c r="G40" s="101"/>
      <c r="H40" s="101"/>
      <c r="I40" s="97"/>
      <c r="J40" s="264"/>
      <c r="K40" s="101"/>
      <c r="L40" s="101"/>
      <c r="M40" s="97"/>
      <c r="N40" s="264"/>
      <c r="O40" s="101"/>
      <c r="P40" s="101"/>
      <c r="Q40" s="97"/>
      <c r="R40" s="264"/>
      <c r="S40" s="101"/>
      <c r="T40" s="101"/>
      <c r="U40" s="97"/>
    </row>
    <row r="41" spans="2:21">
      <c r="B41" s="90"/>
    </row>
    <row r="42" spans="2:21">
      <c r="B42" s="90"/>
    </row>
    <row r="43" spans="2:21">
      <c r="B43" s="90"/>
    </row>
    <row r="44" spans="2:21">
      <c r="B44" s="90"/>
    </row>
    <row r="45" spans="2:21">
      <c r="B45" s="90"/>
    </row>
    <row r="46" spans="2:21">
      <c r="B46" s="90"/>
    </row>
    <row r="47" spans="2:21">
      <c r="B47" s="90"/>
    </row>
    <row r="48" spans="2:21">
      <c r="B48" s="90"/>
    </row>
    <row r="49" s="90" customFormat="1"/>
    <row r="50" s="90" customFormat="1"/>
    <row r="51" s="90" customFormat="1"/>
    <row r="52" s="90" customFormat="1"/>
    <row r="53" s="90" customFormat="1"/>
    <row r="54" s="90" customFormat="1"/>
    <row r="55" s="90" customFormat="1"/>
    <row r="56" s="90" customFormat="1"/>
    <row r="57" s="90" customFormat="1"/>
    <row r="58" s="90" customFormat="1"/>
    <row r="59" s="90" customFormat="1"/>
    <row r="60" s="90" customFormat="1"/>
    <row r="61" s="90" customFormat="1"/>
    <row r="62" s="90" customFormat="1"/>
    <row r="63" s="90" customFormat="1"/>
    <row r="64" s="90" customFormat="1"/>
    <row r="65" s="90" customFormat="1"/>
    <row r="66" s="90" customFormat="1"/>
    <row r="67" s="90" customFormat="1"/>
    <row r="68" s="90" customFormat="1"/>
    <row r="69" s="90" customFormat="1"/>
    <row r="70" s="90" customFormat="1"/>
    <row r="71" s="90" customFormat="1"/>
    <row r="72" s="90" customFormat="1"/>
    <row r="73" s="90" customFormat="1"/>
    <row r="74" s="90" customFormat="1"/>
    <row r="75" s="90" customFormat="1"/>
    <row r="76" s="90" customFormat="1"/>
    <row r="77" s="90" customFormat="1"/>
    <row r="78" s="90" customFormat="1"/>
    <row r="79" s="90" customFormat="1"/>
    <row r="80" s="90" customFormat="1"/>
    <row r="81" s="90" customFormat="1"/>
    <row r="82" s="90" customFormat="1"/>
    <row r="83" s="90" customFormat="1"/>
    <row r="84" s="90" customFormat="1"/>
    <row r="85" s="90" customFormat="1"/>
    <row r="86" s="90" customFormat="1"/>
    <row r="87" s="90" customFormat="1"/>
    <row r="88" s="90" customFormat="1"/>
    <row r="89" s="90" customFormat="1"/>
    <row r="90" s="90" customFormat="1"/>
    <row r="91" s="90" customFormat="1"/>
    <row r="92" s="90" customFormat="1"/>
    <row r="93" s="90" customFormat="1"/>
    <row r="94" s="90" customFormat="1"/>
    <row r="95" s="90" customFormat="1"/>
    <row r="96" s="90" customFormat="1"/>
    <row r="97" s="90" customFormat="1"/>
    <row r="98" s="90" customFormat="1"/>
    <row r="99" s="90" customFormat="1"/>
    <row r="100" s="90" customFormat="1"/>
    <row r="101" s="90" customFormat="1"/>
    <row r="102" s="90" customFormat="1"/>
    <row r="103" s="90" customFormat="1"/>
    <row r="104" s="90" customFormat="1"/>
    <row r="105" s="90" customFormat="1"/>
    <row r="106" s="90" customFormat="1"/>
    <row r="107" s="90" customFormat="1"/>
    <row r="108" s="90" customFormat="1"/>
    <row r="109" s="90" customFormat="1"/>
    <row r="110" s="90" customFormat="1"/>
    <row r="111" s="90" customFormat="1"/>
    <row r="112" s="90" customFormat="1"/>
    <row r="113" s="90" customFormat="1"/>
    <row r="114" s="90" customFormat="1"/>
    <row r="115" s="90" customFormat="1"/>
    <row r="116" s="90" customFormat="1"/>
    <row r="117" s="90" customFormat="1"/>
    <row r="118" s="90" customFormat="1"/>
    <row r="119" s="90" customFormat="1"/>
    <row r="120" s="90" customFormat="1"/>
    <row r="121" s="90" customFormat="1"/>
    <row r="122" s="90" customFormat="1"/>
    <row r="123" s="90" customFormat="1"/>
    <row r="124" s="90" customFormat="1"/>
    <row r="125" s="90" customFormat="1"/>
    <row r="126" s="90" customFormat="1"/>
    <row r="127" s="90" customFormat="1"/>
    <row r="128" s="90" customFormat="1"/>
    <row r="129" s="90" customFormat="1"/>
    <row r="130" s="90" customFormat="1"/>
    <row r="131" s="90" customFormat="1"/>
    <row r="132" s="90" customFormat="1"/>
    <row r="133" s="90" customFormat="1"/>
    <row r="134" s="90" customFormat="1"/>
    <row r="135" s="90" customFormat="1"/>
    <row r="136" s="90" customFormat="1"/>
    <row r="137" s="90" customFormat="1"/>
    <row r="138" s="90" customFormat="1"/>
    <row r="139" s="90" customFormat="1"/>
    <row r="140" s="90" customFormat="1"/>
    <row r="141" s="90" customFormat="1"/>
    <row r="142" s="90" customFormat="1"/>
    <row r="143" s="90" customFormat="1"/>
    <row r="144" s="90" customFormat="1"/>
    <row r="145" s="90" customFormat="1"/>
    <row r="146" s="90" customFormat="1"/>
    <row r="147" s="90" customFormat="1"/>
    <row r="148" s="90" customFormat="1"/>
    <row r="149" s="90" customFormat="1"/>
    <row r="150" s="90" customFormat="1"/>
    <row r="151" s="90" customFormat="1"/>
    <row r="152" s="90" customFormat="1"/>
    <row r="153" s="90" customFormat="1"/>
    <row r="154" s="90" customFormat="1"/>
    <row r="155" s="90" customFormat="1"/>
    <row r="156" s="90" customFormat="1"/>
    <row r="157" s="90" customFormat="1"/>
    <row r="158" s="90" customFormat="1"/>
    <row r="159" s="90" customFormat="1"/>
    <row r="160" s="90" customFormat="1"/>
    <row r="161" s="90" customFormat="1"/>
    <row r="162" s="90" customFormat="1"/>
    <row r="163" s="90" customFormat="1"/>
    <row r="164" s="90" customFormat="1"/>
    <row r="165" s="90" customFormat="1"/>
    <row r="166" s="90" customFormat="1"/>
    <row r="167" s="90" customFormat="1"/>
    <row r="168" s="90" customFormat="1"/>
    <row r="169" s="90" customFormat="1"/>
    <row r="170" s="90" customFormat="1"/>
    <row r="171" s="90" customFormat="1"/>
    <row r="172" s="90" customFormat="1"/>
    <row r="173" s="90" customFormat="1"/>
    <row r="174" s="90" customFormat="1"/>
    <row r="175" s="90" customFormat="1"/>
    <row r="176" s="90" customFormat="1"/>
    <row r="177" s="90" customFormat="1"/>
    <row r="178" s="90" customFormat="1"/>
    <row r="179" s="90" customFormat="1"/>
    <row r="180" s="90" customFormat="1"/>
    <row r="181" s="90" customFormat="1"/>
    <row r="182" s="90" customFormat="1"/>
    <row r="183" s="90" customFormat="1"/>
    <row r="184" s="90" customFormat="1"/>
    <row r="185" s="90" customFormat="1"/>
    <row r="186" s="90" customFormat="1"/>
    <row r="187" s="90" customFormat="1"/>
    <row r="188" s="90" customFormat="1"/>
    <row r="189" s="90" customFormat="1"/>
    <row r="190" s="90" customFormat="1"/>
    <row r="191" s="90" customFormat="1"/>
    <row r="192" s="90" customFormat="1"/>
    <row r="193" s="90" customFormat="1"/>
    <row r="194" s="90" customFormat="1"/>
    <row r="195" s="90" customFormat="1"/>
    <row r="196" s="90" customFormat="1"/>
    <row r="197" s="90" customFormat="1"/>
    <row r="198" s="90" customFormat="1"/>
    <row r="199" s="90" customFormat="1"/>
    <row r="200" s="90" customFormat="1"/>
    <row r="201" s="90" customFormat="1"/>
    <row r="202" s="90" customFormat="1"/>
    <row r="203" s="90" customFormat="1"/>
    <row r="204" s="90" customFormat="1"/>
    <row r="205" s="90" customFormat="1"/>
    <row r="206" s="90" customFormat="1"/>
    <row r="207" s="90" customFormat="1"/>
    <row r="208" s="90" customFormat="1"/>
    <row r="209" s="90" customFormat="1"/>
    <row r="210" s="90" customFormat="1"/>
    <row r="211" s="90" customFormat="1"/>
    <row r="212" s="90" customFormat="1"/>
    <row r="213" s="90" customFormat="1"/>
    <row r="214" s="90" customFormat="1"/>
    <row r="215" s="90" customFormat="1"/>
    <row r="216" s="90" customFormat="1"/>
    <row r="217" s="90" customFormat="1"/>
    <row r="218" s="90" customFormat="1"/>
    <row r="219" s="90" customFormat="1"/>
    <row r="220" s="90" customFormat="1"/>
    <row r="221" s="90" customFormat="1"/>
    <row r="222" s="90" customFormat="1"/>
    <row r="223" s="90" customFormat="1"/>
    <row r="224" s="90" customFormat="1"/>
    <row r="225" s="90" customFormat="1"/>
    <row r="226" s="90" customFormat="1"/>
    <row r="227" s="90" customFormat="1"/>
    <row r="228" s="90" customFormat="1"/>
    <row r="229" s="90" customFormat="1"/>
    <row r="230" s="90" customFormat="1"/>
    <row r="231" s="90" customFormat="1"/>
    <row r="232" s="90" customFormat="1"/>
    <row r="233" s="90" customFormat="1"/>
    <row r="234" s="90" customFormat="1"/>
    <row r="235" s="90" customFormat="1"/>
    <row r="236" s="90" customFormat="1"/>
    <row r="237" s="90" customFormat="1"/>
    <row r="238" s="90" customFormat="1"/>
    <row r="239" s="90" customFormat="1"/>
    <row r="240" s="90" customFormat="1"/>
    <row r="241" s="90" customFormat="1"/>
    <row r="242" s="90" customFormat="1"/>
    <row r="243" s="90" customFormat="1"/>
    <row r="244" s="90" customFormat="1"/>
    <row r="245" s="90" customFormat="1"/>
    <row r="246" s="90" customFormat="1"/>
    <row r="247" s="90" customFormat="1"/>
    <row r="248" s="90" customFormat="1"/>
    <row r="249" s="90" customFormat="1"/>
    <row r="250" s="90" customFormat="1"/>
    <row r="251" s="90" customFormat="1"/>
    <row r="252" s="90" customFormat="1"/>
    <row r="253" s="90" customFormat="1"/>
    <row r="254" s="90" customFormat="1"/>
    <row r="255" s="90" customFormat="1"/>
    <row r="256" s="90" customFormat="1"/>
    <row r="257" s="90" customFormat="1"/>
    <row r="258" s="90" customFormat="1"/>
    <row r="259" s="90" customFormat="1"/>
    <row r="260" s="90" customFormat="1"/>
    <row r="261" s="90" customFormat="1"/>
    <row r="262" s="90" customFormat="1"/>
    <row r="263" s="90" customFormat="1"/>
    <row r="264" s="90" customFormat="1"/>
    <row r="265" s="90" customFormat="1"/>
    <row r="266" s="90" customFormat="1"/>
    <row r="267" s="90" customFormat="1"/>
    <row r="268" s="90" customFormat="1"/>
    <row r="269" s="90" customFormat="1"/>
    <row r="270" s="90" customFormat="1"/>
    <row r="271" s="90" customFormat="1"/>
    <row r="272" s="90" customFormat="1"/>
    <row r="273" s="90" customFormat="1"/>
    <row r="274" s="90" customFormat="1"/>
    <row r="275" s="90" customFormat="1"/>
    <row r="276" s="90" customFormat="1"/>
    <row r="277" s="90" customFormat="1"/>
    <row r="278" s="90" customFormat="1"/>
    <row r="279" s="90" customFormat="1"/>
    <row r="280" s="90" customFormat="1"/>
    <row r="281" s="90" customFormat="1"/>
    <row r="282" s="90" customFormat="1"/>
    <row r="283" s="90" customFormat="1"/>
    <row r="284" s="90" customFormat="1"/>
    <row r="285" s="90" customFormat="1"/>
    <row r="286" s="90" customFormat="1"/>
    <row r="287" s="90" customFormat="1"/>
    <row r="288" s="90" customFormat="1"/>
  </sheetData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Dashboard</vt:lpstr>
      <vt:lpstr>AtAGlance</vt:lpstr>
      <vt:lpstr>Create</vt:lpstr>
      <vt:lpstr>Staffing</vt:lpstr>
      <vt:lpstr>Conf_Employees</vt:lpstr>
      <vt:lpstr>Conf_Options</vt:lpstr>
      <vt:lpstr>EmployeeHx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2022-11-24T15:06:34Z</cp:lastPrinted>
  <dcterms:created xsi:type="dcterms:W3CDTF">2022-10-16T00:09:21Z</dcterms:created>
  <dcterms:modified xsi:type="dcterms:W3CDTF">2022-12-01T12:07:42Z</dcterms:modified>
</cp:coreProperties>
</file>